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URAB~1\AppData\Local\Temp\"/>
    </mc:Choice>
  </mc:AlternateContent>
  <xr:revisionPtr revIDLastSave="0" documentId="13_ncr:1_{B001C3F0-A0B4-4221-A252-F2FB3F2AC5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Customers" sheetId="2" r:id="rId2"/>
    <sheet name="Products" sheetId="3" r:id="rId3"/>
    <sheet name="Orders" sheetId="4" r:id="rId4"/>
    <sheet name="OrderDetails" sheetId="5" r:id="rId5"/>
    <sheet name="RFM" sheetId="6" r:id="rId6"/>
  </sheets>
  <definedNames>
    <definedName name="_xlnm._FilterDatabase" localSheetId="1" hidden="1">Customers!$A$1:$F$101</definedName>
    <definedName name="_xlnm._FilterDatabase" localSheetId="4" hidden="1">OrderDetails!$A$1:$I$520</definedName>
    <definedName name="_xlnm._FilterDatabase" localSheetId="3" hidden="1">Orders!$A$1:$F$201</definedName>
    <definedName name="_xlnm._FilterDatabase" localSheetId="2" hidden="1">Products!$A$1:$D$9</definedName>
    <definedName name="_xlnm._FilterDatabase" localSheetId="5" hidden="1">RFM!$A$1:$J$85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6" l="1"/>
  <c r="M8" i="6"/>
  <c r="N7" i="6"/>
  <c r="M7" i="6"/>
  <c r="N6" i="6"/>
  <c r="M6" i="6"/>
  <c r="N5" i="6"/>
  <c r="M5" i="6"/>
  <c r="N4" i="6"/>
  <c r="O4" i="6" s="1"/>
  <c r="E95" i="1" s="1"/>
  <c r="M4" i="6"/>
  <c r="G520" i="5"/>
  <c r="F520" i="5"/>
  <c r="E520" i="5"/>
  <c r="G519" i="5"/>
  <c r="F519" i="5"/>
  <c r="E519" i="5"/>
  <c r="G518" i="5"/>
  <c r="F518" i="5"/>
  <c r="E518" i="5"/>
  <c r="G517" i="5"/>
  <c r="F517" i="5"/>
  <c r="E517" i="5"/>
  <c r="G516" i="5"/>
  <c r="F516" i="5"/>
  <c r="E516" i="5"/>
  <c r="G515" i="5"/>
  <c r="F515" i="5"/>
  <c r="E515" i="5"/>
  <c r="G514" i="5"/>
  <c r="F514" i="5"/>
  <c r="E514" i="5"/>
  <c r="G513" i="5"/>
  <c r="F513" i="5"/>
  <c r="E513" i="5"/>
  <c r="G512" i="5"/>
  <c r="F512" i="5"/>
  <c r="E512" i="5"/>
  <c r="G511" i="5"/>
  <c r="F511" i="5"/>
  <c r="E511" i="5"/>
  <c r="G510" i="5"/>
  <c r="F510" i="5"/>
  <c r="E510" i="5"/>
  <c r="G509" i="5"/>
  <c r="F509" i="5"/>
  <c r="E509" i="5"/>
  <c r="G508" i="5"/>
  <c r="F508" i="5"/>
  <c r="E508" i="5"/>
  <c r="G507" i="5"/>
  <c r="F507" i="5"/>
  <c r="E507" i="5"/>
  <c r="G506" i="5"/>
  <c r="F506" i="5"/>
  <c r="E506" i="5"/>
  <c r="G505" i="5"/>
  <c r="F505" i="5"/>
  <c r="E505" i="5"/>
  <c r="G504" i="5"/>
  <c r="F504" i="5"/>
  <c r="E504" i="5"/>
  <c r="I503" i="5"/>
  <c r="H503" i="5"/>
  <c r="G503" i="5"/>
  <c r="F503" i="5"/>
  <c r="E503" i="5"/>
  <c r="I502" i="5"/>
  <c r="H502" i="5"/>
  <c r="G502" i="5"/>
  <c r="F502" i="5"/>
  <c r="E502" i="5"/>
  <c r="I501" i="5"/>
  <c r="H501" i="5"/>
  <c r="G501" i="5"/>
  <c r="F501" i="5"/>
  <c r="E501" i="5"/>
  <c r="I500" i="5"/>
  <c r="H500" i="5"/>
  <c r="G500" i="5"/>
  <c r="F500" i="5"/>
  <c r="E500" i="5"/>
  <c r="I499" i="5"/>
  <c r="H499" i="5"/>
  <c r="G499" i="5"/>
  <c r="F499" i="5"/>
  <c r="E499" i="5"/>
  <c r="I498" i="5"/>
  <c r="H498" i="5"/>
  <c r="G498" i="5"/>
  <c r="F498" i="5"/>
  <c r="E498" i="5"/>
  <c r="I497" i="5"/>
  <c r="H497" i="5"/>
  <c r="G497" i="5"/>
  <c r="F497" i="5"/>
  <c r="E497" i="5"/>
  <c r="I496" i="5"/>
  <c r="H496" i="5"/>
  <c r="G496" i="5"/>
  <c r="F496" i="5"/>
  <c r="E496" i="5"/>
  <c r="I495" i="5"/>
  <c r="H495" i="5"/>
  <c r="G495" i="5"/>
  <c r="F495" i="5"/>
  <c r="E495" i="5"/>
  <c r="I494" i="5"/>
  <c r="H494" i="5"/>
  <c r="G494" i="5"/>
  <c r="F494" i="5"/>
  <c r="E494" i="5"/>
  <c r="I493" i="5"/>
  <c r="H493" i="5"/>
  <c r="G493" i="5"/>
  <c r="F493" i="5"/>
  <c r="E493" i="5"/>
  <c r="I492" i="5"/>
  <c r="H492" i="5"/>
  <c r="G492" i="5"/>
  <c r="F492" i="5"/>
  <c r="E492" i="5"/>
  <c r="I491" i="5"/>
  <c r="H491" i="5"/>
  <c r="G491" i="5"/>
  <c r="F491" i="5"/>
  <c r="E491" i="5"/>
  <c r="I490" i="5"/>
  <c r="H490" i="5"/>
  <c r="G490" i="5"/>
  <c r="F490" i="5"/>
  <c r="E490" i="5"/>
  <c r="I489" i="5"/>
  <c r="H489" i="5"/>
  <c r="G489" i="5"/>
  <c r="F489" i="5"/>
  <c r="E489" i="5"/>
  <c r="I488" i="5"/>
  <c r="H488" i="5"/>
  <c r="G488" i="5"/>
  <c r="F488" i="5"/>
  <c r="E488" i="5"/>
  <c r="I487" i="5"/>
  <c r="H487" i="5"/>
  <c r="G487" i="5"/>
  <c r="F487" i="5"/>
  <c r="E487" i="5"/>
  <c r="I486" i="5"/>
  <c r="H486" i="5"/>
  <c r="G486" i="5"/>
  <c r="F486" i="5"/>
  <c r="E486" i="5"/>
  <c r="I485" i="5"/>
  <c r="H485" i="5"/>
  <c r="G485" i="5"/>
  <c r="F485" i="5"/>
  <c r="E485" i="5"/>
  <c r="I484" i="5"/>
  <c r="H484" i="5"/>
  <c r="G484" i="5"/>
  <c r="F484" i="5"/>
  <c r="E484" i="5"/>
  <c r="I483" i="5"/>
  <c r="H483" i="5"/>
  <c r="G483" i="5"/>
  <c r="F483" i="5"/>
  <c r="E483" i="5"/>
  <c r="I482" i="5"/>
  <c r="H482" i="5"/>
  <c r="G482" i="5"/>
  <c r="F482" i="5"/>
  <c r="E482" i="5"/>
  <c r="I481" i="5"/>
  <c r="H481" i="5"/>
  <c r="G481" i="5"/>
  <c r="F481" i="5"/>
  <c r="E481" i="5"/>
  <c r="I480" i="5"/>
  <c r="H480" i="5"/>
  <c r="G480" i="5"/>
  <c r="F480" i="5"/>
  <c r="E480" i="5"/>
  <c r="I479" i="5"/>
  <c r="H479" i="5"/>
  <c r="G479" i="5"/>
  <c r="F479" i="5"/>
  <c r="E479" i="5"/>
  <c r="I478" i="5"/>
  <c r="H478" i="5"/>
  <c r="G478" i="5"/>
  <c r="F478" i="5"/>
  <c r="E478" i="5"/>
  <c r="I477" i="5"/>
  <c r="H477" i="5"/>
  <c r="G477" i="5"/>
  <c r="F477" i="5"/>
  <c r="E477" i="5"/>
  <c r="I476" i="5"/>
  <c r="H476" i="5"/>
  <c r="G476" i="5"/>
  <c r="F476" i="5"/>
  <c r="E476" i="5"/>
  <c r="I475" i="5"/>
  <c r="H475" i="5"/>
  <c r="G475" i="5"/>
  <c r="F475" i="5"/>
  <c r="E475" i="5"/>
  <c r="I474" i="5"/>
  <c r="H474" i="5"/>
  <c r="G474" i="5"/>
  <c r="F474" i="5"/>
  <c r="E474" i="5"/>
  <c r="I473" i="5"/>
  <c r="H473" i="5"/>
  <c r="G473" i="5"/>
  <c r="C29" i="1" s="1"/>
  <c r="F473" i="5"/>
  <c r="E473" i="5"/>
  <c r="G472" i="5"/>
  <c r="F472" i="5"/>
  <c r="E472" i="5"/>
  <c r="G471" i="5"/>
  <c r="F471" i="5"/>
  <c r="E471" i="5"/>
  <c r="G470" i="5"/>
  <c r="F470" i="5"/>
  <c r="E470" i="5"/>
  <c r="G469" i="5"/>
  <c r="F469" i="5"/>
  <c r="E469" i="5"/>
  <c r="I468" i="5"/>
  <c r="H468" i="5"/>
  <c r="G468" i="5"/>
  <c r="F468" i="5"/>
  <c r="E468" i="5"/>
  <c r="I467" i="5"/>
  <c r="H467" i="5"/>
  <c r="G467" i="5"/>
  <c r="F467" i="5"/>
  <c r="E467" i="5"/>
  <c r="I466" i="5"/>
  <c r="H466" i="5"/>
  <c r="G466" i="5"/>
  <c r="F466" i="5"/>
  <c r="E466" i="5"/>
  <c r="I465" i="5"/>
  <c r="H465" i="5"/>
  <c r="G465" i="5"/>
  <c r="F465" i="5"/>
  <c r="E465" i="5"/>
  <c r="I464" i="5"/>
  <c r="H464" i="5"/>
  <c r="G464" i="5"/>
  <c r="F464" i="5"/>
  <c r="E464" i="5"/>
  <c r="I463" i="5"/>
  <c r="H463" i="5"/>
  <c r="G463" i="5"/>
  <c r="F463" i="5"/>
  <c r="E463" i="5"/>
  <c r="I462" i="5"/>
  <c r="H462" i="5"/>
  <c r="G462" i="5"/>
  <c r="F462" i="5"/>
  <c r="E462" i="5"/>
  <c r="I461" i="5"/>
  <c r="H461" i="5"/>
  <c r="G461" i="5"/>
  <c r="F461" i="5"/>
  <c r="E461" i="5"/>
  <c r="I460" i="5"/>
  <c r="H460" i="5"/>
  <c r="G460" i="5"/>
  <c r="F460" i="5"/>
  <c r="E460" i="5"/>
  <c r="I459" i="5"/>
  <c r="H459" i="5"/>
  <c r="G459" i="5"/>
  <c r="F459" i="5"/>
  <c r="E459" i="5"/>
  <c r="I458" i="5"/>
  <c r="H458" i="5"/>
  <c r="G458" i="5"/>
  <c r="F458" i="5"/>
  <c r="E458" i="5"/>
  <c r="I457" i="5"/>
  <c r="H457" i="5"/>
  <c r="G457" i="5"/>
  <c r="F457" i="5"/>
  <c r="E457" i="5"/>
  <c r="I456" i="5"/>
  <c r="H456" i="5"/>
  <c r="G456" i="5"/>
  <c r="F456" i="5"/>
  <c r="E456" i="5"/>
  <c r="I455" i="5"/>
  <c r="H455" i="5"/>
  <c r="G455" i="5"/>
  <c r="F455" i="5"/>
  <c r="E455" i="5"/>
  <c r="I454" i="5"/>
  <c r="H454" i="5"/>
  <c r="G454" i="5"/>
  <c r="F454" i="5"/>
  <c r="E454" i="5"/>
  <c r="I453" i="5"/>
  <c r="H453" i="5"/>
  <c r="G453" i="5"/>
  <c r="F453" i="5"/>
  <c r="E453" i="5"/>
  <c r="I452" i="5"/>
  <c r="H452" i="5"/>
  <c r="G452" i="5"/>
  <c r="F452" i="5"/>
  <c r="E452" i="5"/>
  <c r="I451" i="5"/>
  <c r="H451" i="5"/>
  <c r="G451" i="5"/>
  <c r="F451" i="5"/>
  <c r="E451" i="5"/>
  <c r="I450" i="5"/>
  <c r="H450" i="5"/>
  <c r="G450" i="5"/>
  <c r="F450" i="5"/>
  <c r="E450" i="5"/>
  <c r="I449" i="5"/>
  <c r="H449" i="5"/>
  <c r="G449" i="5"/>
  <c r="F449" i="5"/>
  <c r="E449" i="5"/>
  <c r="I448" i="5"/>
  <c r="H448" i="5"/>
  <c r="G448" i="5"/>
  <c r="F448" i="5"/>
  <c r="E448" i="5"/>
  <c r="I447" i="5"/>
  <c r="H447" i="5"/>
  <c r="G447" i="5"/>
  <c r="F447" i="5"/>
  <c r="E447" i="5"/>
  <c r="I446" i="5"/>
  <c r="H446" i="5"/>
  <c r="G446" i="5"/>
  <c r="F446" i="5"/>
  <c r="E446" i="5"/>
  <c r="I445" i="5"/>
  <c r="H445" i="5"/>
  <c r="G445" i="5"/>
  <c r="F445" i="5"/>
  <c r="E445" i="5"/>
  <c r="I444" i="5"/>
  <c r="H444" i="5"/>
  <c r="G444" i="5"/>
  <c r="F444" i="5"/>
  <c r="E444" i="5"/>
  <c r="I443" i="5"/>
  <c r="H443" i="5"/>
  <c r="G443" i="5"/>
  <c r="F443" i="5"/>
  <c r="E443" i="5"/>
  <c r="I442" i="5"/>
  <c r="H442" i="5"/>
  <c r="G442" i="5"/>
  <c r="F442" i="5"/>
  <c r="E442" i="5"/>
  <c r="I441" i="5"/>
  <c r="H441" i="5"/>
  <c r="G441" i="5"/>
  <c r="F441" i="5"/>
  <c r="E441" i="5"/>
  <c r="I440" i="5"/>
  <c r="H440" i="5"/>
  <c r="G440" i="5"/>
  <c r="F440" i="5"/>
  <c r="E440" i="5"/>
  <c r="I439" i="5"/>
  <c r="H439" i="5"/>
  <c r="G439" i="5"/>
  <c r="F439" i="5"/>
  <c r="E439" i="5"/>
  <c r="I438" i="5"/>
  <c r="H438" i="5"/>
  <c r="G438" i="5"/>
  <c r="F438" i="5"/>
  <c r="E438" i="5"/>
  <c r="I437" i="5"/>
  <c r="H437" i="5"/>
  <c r="G437" i="5"/>
  <c r="F437" i="5"/>
  <c r="E437" i="5"/>
  <c r="I436" i="5"/>
  <c r="H436" i="5"/>
  <c r="G436" i="5"/>
  <c r="F436" i="5"/>
  <c r="E436" i="5"/>
  <c r="I435" i="5"/>
  <c r="H435" i="5"/>
  <c r="G435" i="5"/>
  <c r="F435" i="5"/>
  <c r="E435" i="5"/>
  <c r="I434" i="5"/>
  <c r="H434" i="5"/>
  <c r="G434" i="5"/>
  <c r="F434" i="5"/>
  <c r="E434" i="5"/>
  <c r="I433" i="5"/>
  <c r="H433" i="5"/>
  <c r="G433" i="5"/>
  <c r="F433" i="5"/>
  <c r="E433" i="5"/>
  <c r="I432" i="5"/>
  <c r="H432" i="5"/>
  <c r="G432" i="5"/>
  <c r="F432" i="5"/>
  <c r="E432" i="5"/>
  <c r="I431" i="5"/>
  <c r="H431" i="5"/>
  <c r="G431" i="5"/>
  <c r="F431" i="5"/>
  <c r="E431" i="5"/>
  <c r="I430" i="5"/>
  <c r="H430" i="5"/>
  <c r="G430" i="5"/>
  <c r="F430" i="5"/>
  <c r="E430" i="5"/>
  <c r="I429" i="5"/>
  <c r="H429" i="5"/>
  <c r="G429" i="5"/>
  <c r="F429" i="5"/>
  <c r="E429" i="5"/>
  <c r="I428" i="5"/>
  <c r="H428" i="5"/>
  <c r="G428" i="5"/>
  <c r="F428" i="5"/>
  <c r="E428" i="5"/>
  <c r="I427" i="5"/>
  <c r="H427" i="5"/>
  <c r="G427" i="5"/>
  <c r="F427" i="5"/>
  <c r="E427" i="5"/>
  <c r="I426" i="5"/>
  <c r="H426" i="5"/>
  <c r="G426" i="5"/>
  <c r="F426" i="5"/>
  <c r="E426" i="5"/>
  <c r="I425" i="5"/>
  <c r="H425" i="5"/>
  <c r="G425" i="5"/>
  <c r="F425" i="5"/>
  <c r="E425" i="5"/>
  <c r="I424" i="5"/>
  <c r="H424" i="5"/>
  <c r="G424" i="5"/>
  <c r="F424" i="5"/>
  <c r="E424" i="5"/>
  <c r="I423" i="5"/>
  <c r="H423" i="5"/>
  <c r="G423" i="5"/>
  <c r="F423" i="5"/>
  <c r="E423" i="5"/>
  <c r="I422" i="5"/>
  <c r="H422" i="5"/>
  <c r="G422" i="5"/>
  <c r="F422" i="5"/>
  <c r="E422" i="5"/>
  <c r="I421" i="5"/>
  <c r="H421" i="5"/>
  <c r="G421" i="5"/>
  <c r="F421" i="5"/>
  <c r="E421" i="5"/>
  <c r="G420" i="5"/>
  <c r="F420" i="5"/>
  <c r="E420" i="5"/>
  <c r="G419" i="5"/>
  <c r="F419" i="5"/>
  <c r="E419" i="5"/>
  <c r="G418" i="5"/>
  <c r="F418" i="5"/>
  <c r="E418" i="5"/>
  <c r="G417" i="5"/>
  <c r="F417" i="5"/>
  <c r="E417" i="5"/>
  <c r="G416" i="5"/>
  <c r="F416" i="5"/>
  <c r="E416" i="5"/>
  <c r="I415" i="5"/>
  <c r="H415" i="5"/>
  <c r="G415" i="5"/>
  <c r="F415" i="5"/>
  <c r="E415" i="5"/>
  <c r="I414" i="5"/>
  <c r="H414" i="5"/>
  <c r="G414" i="5"/>
  <c r="F414" i="5"/>
  <c r="E414" i="5"/>
  <c r="I413" i="5"/>
  <c r="H413" i="5"/>
  <c r="G413" i="5"/>
  <c r="F413" i="5"/>
  <c r="E413" i="5"/>
  <c r="I412" i="5"/>
  <c r="H412" i="5"/>
  <c r="G412" i="5"/>
  <c r="F412" i="5"/>
  <c r="E412" i="5"/>
  <c r="I411" i="5"/>
  <c r="H411" i="5"/>
  <c r="G411" i="5"/>
  <c r="F411" i="5"/>
  <c r="E411" i="5"/>
  <c r="I410" i="5"/>
  <c r="H410" i="5"/>
  <c r="G410" i="5"/>
  <c r="F410" i="5"/>
  <c r="E410" i="5"/>
  <c r="I409" i="5"/>
  <c r="H409" i="5"/>
  <c r="G409" i="5"/>
  <c r="F409" i="5"/>
  <c r="E409" i="5"/>
  <c r="G408" i="5"/>
  <c r="F408" i="5"/>
  <c r="E408" i="5"/>
  <c r="G407" i="5"/>
  <c r="F407" i="5"/>
  <c r="E407" i="5"/>
  <c r="G406" i="5"/>
  <c r="F406" i="5"/>
  <c r="E406" i="5"/>
  <c r="G405" i="5"/>
  <c r="F405" i="5"/>
  <c r="E405" i="5"/>
  <c r="G404" i="5"/>
  <c r="F404" i="5"/>
  <c r="E404" i="5"/>
  <c r="G403" i="5"/>
  <c r="F403" i="5"/>
  <c r="E403" i="5"/>
  <c r="G402" i="5"/>
  <c r="F402" i="5"/>
  <c r="E402" i="5"/>
  <c r="G401" i="5"/>
  <c r="F401" i="5"/>
  <c r="E401" i="5"/>
  <c r="G400" i="5"/>
  <c r="F400" i="5"/>
  <c r="E400" i="5"/>
  <c r="G399" i="5"/>
  <c r="F399" i="5"/>
  <c r="E399" i="5"/>
  <c r="G398" i="5"/>
  <c r="F398" i="5"/>
  <c r="E398" i="5"/>
  <c r="G397" i="5"/>
  <c r="F397" i="5"/>
  <c r="E397" i="5"/>
  <c r="G396" i="5"/>
  <c r="F396" i="5"/>
  <c r="E396" i="5"/>
  <c r="G395" i="5"/>
  <c r="F395" i="5"/>
  <c r="E395" i="5"/>
  <c r="G394" i="5"/>
  <c r="F394" i="5"/>
  <c r="E394" i="5"/>
  <c r="G393" i="5"/>
  <c r="F393" i="5"/>
  <c r="E393" i="5"/>
  <c r="G392" i="5"/>
  <c r="F392" i="5"/>
  <c r="E392" i="5"/>
  <c r="G391" i="5"/>
  <c r="F391" i="5"/>
  <c r="E391" i="5"/>
  <c r="G390" i="5"/>
  <c r="F390" i="5"/>
  <c r="E390" i="5"/>
  <c r="G389" i="5"/>
  <c r="F389" i="5"/>
  <c r="E389" i="5"/>
  <c r="G388" i="5"/>
  <c r="F388" i="5"/>
  <c r="E388" i="5"/>
  <c r="G387" i="5"/>
  <c r="F387" i="5"/>
  <c r="E387" i="5"/>
  <c r="G386" i="5"/>
  <c r="F386" i="5"/>
  <c r="E386" i="5"/>
  <c r="G385" i="5"/>
  <c r="F385" i="5"/>
  <c r="E385" i="5"/>
  <c r="G384" i="5"/>
  <c r="F384" i="5"/>
  <c r="E384" i="5"/>
  <c r="I383" i="5"/>
  <c r="H383" i="5"/>
  <c r="G383" i="5"/>
  <c r="F383" i="5"/>
  <c r="E383" i="5"/>
  <c r="I382" i="5"/>
  <c r="H382" i="5"/>
  <c r="G382" i="5"/>
  <c r="F382" i="5"/>
  <c r="E382" i="5"/>
  <c r="I381" i="5"/>
  <c r="H381" i="5"/>
  <c r="G381" i="5"/>
  <c r="F381" i="5"/>
  <c r="E381" i="5"/>
  <c r="I380" i="5"/>
  <c r="H380" i="5"/>
  <c r="G380" i="5"/>
  <c r="F380" i="5"/>
  <c r="E380" i="5"/>
  <c r="I379" i="5"/>
  <c r="H379" i="5"/>
  <c r="G379" i="5"/>
  <c r="F379" i="5"/>
  <c r="E379" i="5"/>
  <c r="I378" i="5"/>
  <c r="H378" i="5"/>
  <c r="G378" i="5"/>
  <c r="F378" i="5"/>
  <c r="E378" i="5"/>
  <c r="I377" i="5"/>
  <c r="H377" i="5"/>
  <c r="G377" i="5"/>
  <c r="F377" i="5"/>
  <c r="E377" i="5"/>
  <c r="I376" i="5"/>
  <c r="H376" i="5"/>
  <c r="G376" i="5"/>
  <c r="F376" i="5"/>
  <c r="E376" i="5"/>
  <c r="I375" i="5"/>
  <c r="H375" i="5"/>
  <c r="G375" i="5"/>
  <c r="F375" i="5"/>
  <c r="E375" i="5"/>
  <c r="I374" i="5"/>
  <c r="H374" i="5"/>
  <c r="G374" i="5"/>
  <c r="F374" i="5"/>
  <c r="E374" i="5"/>
  <c r="I373" i="5"/>
  <c r="H373" i="5"/>
  <c r="G373" i="5"/>
  <c r="F373" i="5"/>
  <c r="E373" i="5"/>
  <c r="I372" i="5"/>
  <c r="H372" i="5"/>
  <c r="G372" i="5"/>
  <c r="F372" i="5"/>
  <c r="E372" i="5"/>
  <c r="I371" i="5"/>
  <c r="H371" i="5"/>
  <c r="G371" i="5"/>
  <c r="F371" i="5"/>
  <c r="E371" i="5"/>
  <c r="I370" i="5"/>
  <c r="H370" i="5"/>
  <c r="G370" i="5"/>
  <c r="F370" i="5"/>
  <c r="E370" i="5"/>
  <c r="I369" i="5"/>
  <c r="H369" i="5"/>
  <c r="G369" i="5"/>
  <c r="F369" i="5"/>
  <c r="E369" i="5"/>
  <c r="I368" i="5"/>
  <c r="H368" i="5"/>
  <c r="G368" i="5"/>
  <c r="F368" i="5"/>
  <c r="E368" i="5"/>
  <c r="I367" i="5"/>
  <c r="H367" i="5"/>
  <c r="G367" i="5"/>
  <c r="F367" i="5"/>
  <c r="E367" i="5"/>
  <c r="I366" i="5"/>
  <c r="H366" i="5"/>
  <c r="G366" i="5"/>
  <c r="F366" i="5"/>
  <c r="E366" i="5"/>
  <c r="I365" i="5"/>
  <c r="H365" i="5"/>
  <c r="G365" i="5"/>
  <c r="F365" i="5"/>
  <c r="E365" i="5"/>
  <c r="I364" i="5"/>
  <c r="H364" i="5"/>
  <c r="G364" i="5"/>
  <c r="F364" i="5"/>
  <c r="E364" i="5"/>
  <c r="I363" i="5"/>
  <c r="H363" i="5"/>
  <c r="G363" i="5"/>
  <c r="F363" i="5"/>
  <c r="E363" i="5"/>
  <c r="I362" i="5"/>
  <c r="H362" i="5"/>
  <c r="G362" i="5"/>
  <c r="F362" i="5"/>
  <c r="E362" i="5"/>
  <c r="I361" i="5"/>
  <c r="H361" i="5"/>
  <c r="G361" i="5"/>
  <c r="F361" i="5"/>
  <c r="E361" i="5"/>
  <c r="I360" i="5"/>
  <c r="H360" i="5"/>
  <c r="G360" i="5"/>
  <c r="F360" i="5"/>
  <c r="E360" i="5"/>
  <c r="I359" i="5"/>
  <c r="H359" i="5"/>
  <c r="G359" i="5"/>
  <c r="F359" i="5"/>
  <c r="E359" i="5"/>
  <c r="G358" i="5"/>
  <c r="F358" i="5"/>
  <c r="E358" i="5"/>
  <c r="G357" i="5"/>
  <c r="F357" i="5"/>
  <c r="E357" i="5"/>
  <c r="G356" i="5"/>
  <c r="F356" i="5"/>
  <c r="E356" i="5"/>
  <c r="G355" i="5"/>
  <c r="F355" i="5"/>
  <c r="E355" i="5"/>
  <c r="G354" i="5"/>
  <c r="F354" i="5"/>
  <c r="E354" i="5"/>
  <c r="G353" i="5"/>
  <c r="F353" i="5"/>
  <c r="E353" i="5"/>
  <c r="G352" i="5"/>
  <c r="F352" i="5"/>
  <c r="E352" i="5"/>
  <c r="G351" i="5"/>
  <c r="F351" i="5"/>
  <c r="E351" i="5"/>
  <c r="G350" i="5"/>
  <c r="F350" i="5"/>
  <c r="E350" i="5"/>
  <c r="G349" i="5"/>
  <c r="F349" i="5"/>
  <c r="E349" i="5"/>
  <c r="G348" i="5"/>
  <c r="F348" i="5"/>
  <c r="E348" i="5"/>
  <c r="G347" i="5"/>
  <c r="F347" i="5"/>
  <c r="E347" i="5"/>
  <c r="G346" i="5"/>
  <c r="F346" i="5"/>
  <c r="E346" i="5"/>
  <c r="G345" i="5"/>
  <c r="F345" i="5"/>
  <c r="E345" i="5"/>
  <c r="G344" i="5"/>
  <c r="F344" i="5"/>
  <c r="E344" i="5"/>
  <c r="G343" i="5"/>
  <c r="F343" i="5"/>
  <c r="E343" i="5"/>
  <c r="G342" i="5"/>
  <c r="F342" i="5"/>
  <c r="E342" i="5"/>
  <c r="G341" i="5"/>
  <c r="F341" i="5"/>
  <c r="E341" i="5"/>
  <c r="G340" i="5"/>
  <c r="F340" i="5"/>
  <c r="E340" i="5"/>
  <c r="G339" i="5"/>
  <c r="F339" i="5"/>
  <c r="E339" i="5"/>
  <c r="G338" i="5"/>
  <c r="F338" i="5"/>
  <c r="E338" i="5"/>
  <c r="G337" i="5"/>
  <c r="F337" i="5"/>
  <c r="E337" i="5"/>
  <c r="G336" i="5"/>
  <c r="F336" i="5"/>
  <c r="E336" i="5"/>
  <c r="G335" i="5"/>
  <c r="F335" i="5"/>
  <c r="E335" i="5"/>
  <c r="G334" i="5"/>
  <c r="F334" i="5"/>
  <c r="E334" i="5"/>
  <c r="G333" i="5"/>
  <c r="F333" i="5"/>
  <c r="E333" i="5"/>
  <c r="G332" i="5"/>
  <c r="F332" i="5"/>
  <c r="E332" i="5"/>
  <c r="I331" i="5"/>
  <c r="H331" i="5"/>
  <c r="G331" i="5"/>
  <c r="F331" i="5"/>
  <c r="E331" i="5"/>
  <c r="I330" i="5"/>
  <c r="H330" i="5"/>
  <c r="G330" i="5"/>
  <c r="F330" i="5"/>
  <c r="E330" i="5"/>
  <c r="I329" i="5"/>
  <c r="H329" i="5"/>
  <c r="G329" i="5"/>
  <c r="F329" i="5"/>
  <c r="E329" i="5"/>
  <c r="I328" i="5"/>
  <c r="H328" i="5"/>
  <c r="G328" i="5"/>
  <c r="F328" i="5"/>
  <c r="E328" i="5"/>
  <c r="I327" i="5"/>
  <c r="H327" i="5"/>
  <c r="G327" i="5"/>
  <c r="F327" i="5"/>
  <c r="E327" i="5"/>
  <c r="I326" i="5"/>
  <c r="H326" i="5"/>
  <c r="G326" i="5"/>
  <c r="F326" i="5"/>
  <c r="E326" i="5"/>
  <c r="I325" i="5"/>
  <c r="H325" i="5"/>
  <c r="G325" i="5"/>
  <c r="F325" i="5"/>
  <c r="E325" i="5"/>
  <c r="I324" i="5"/>
  <c r="H324" i="5"/>
  <c r="G324" i="5"/>
  <c r="F324" i="5"/>
  <c r="E324" i="5"/>
  <c r="I323" i="5"/>
  <c r="H323" i="5"/>
  <c r="G323" i="5"/>
  <c r="F323" i="5"/>
  <c r="E323" i="5"/>
  <c r="I322" i="5"/>
  <c r="H322" i="5"/>
  <c r="G322" i="5"/>
  <c r="F322" i="5"/>
  <c r="E322" i="5"/>
  <c r="I321" i="5"/>
  <c r="H321" i="5"/>
  <c r="G321" i="5"/>
  <c r="F321" i="5"/>
  <c r="E321" i="5"/>
  <c r="I320" i="5"/>
  <c r="H320" i="5"/>
  <c r="G320" i="5"/>
  <c r="F320" i="5"/>
  <c r="E320" i="5"/>
  <c r="I319" i="5"/>
  <c r="H319" i="5"/>
  <c r="G319" i="5"/>
  <c r="F319" i="5"/>
  <c r="E319" i="5"/>
  <c r="I318" i="5"/>
  <c r="H318" i="5"/>
  <c r="G318" i="5"/>
  <c r="F318" i="5"/>
  <c r="E318" i="5"/>
  <c r="I317" i="5"/>
  <c r="H317" i="5"/>
  <c r="G317" i="5"/>
  <c r="F317" i="5"/>
  <c r="E317" i="5"/>
  <c r="I316" i="5"/>
  <c r="H316" i="5"/>
  <c r="G316" i="5"/>
  <c r="F316" i="5"/>
  <c r="E316" i="5"/>
  <c r="I315" i="5"/>
  <c r="H315" i="5"/>
  <c r="G315" i="5"/>
  <c r="F315" i="5"/>
  <c r="E315" i="5"/>
  <c r="I314" i="5"/>
  <c r="H314" i="5"/>
  <c r="G314" i="5"/>
  <c r="F314" i="5"/>
  <c r="E314" i="5"/>
  <c r="I313" i="5"/>
  <c r="H313" i="5"/>
  <c r="G313" i="5"/>
  <c r="F313" i="5"/>
  <c r="E313" i="5"/>
  <c r="I312" i="5"/>
  <c r="H312" i="5"/>
  <c r="G312" i="5"/>
  <c r="F312" i="5"/>
  <c r="E312" i="5"/>
  <c r="I311" i="5"/>
  <c r="H311" i="5"/>
  <c r="G311" i="5"/>
  <c r="F311" i="5"/>
  <c r="E311" i="5"/>
  <c r="I310" i="5"/>
  <c r="H310" i="5"/>
  <c r="G310" i="5"/>
  <c r="F310" i="5"/>
  <c r="E310" i="5"/>
  <c r="I309" i="5"/>
  <c r="H309" i="5"/>
  <c r="G309" i="5"/>
  <c r="F309" i="5"/>
  <c r="E309" i="5"/>
  <c r="I308" i="5"/>
  <c r="H308" i="5"/>
  <c r="G308" i="5"/>
  <c r="F308" i="5"/>
  <c r="E308" i="5"/>
  <c r="I307" i="5"/>
  <c r="H307" i="5"/>
  <c r="G307" i="5"/>
  <c r="F307" i="5"/>
  <c r="E307" i="5"/>
  <c r="I306" i="5"/>
  <c r="H306" i="5"/>
  <c r="G306" i="5"/>
  <c r="F306" i="5"/>
  <c r="E306" i="5"/>
  <c r="I305" i="5"/>
  <c r="H305" i="5"/>
  <c r="G305" i="5"/>
  <c r="F305" i="5"/>
  <c r="E305" i="5"/>
  <c r="I304" i="5"/>
  <c r="H304" i="5"/>
  <c r="G304" i="5"/>
  <c r="F304" i="5"/>
  <c r="E304" i="5"/>
  <c r="G303" i="5"/>
  <c r="F303" i="5"/>
  <c r="E303" i="5"/>
  <c r="G302" i="5"/>
  <c r="F302" i="5"/>
  <c r="E302" i="5"/>
  <c r="G301" i="5"/>
  <c r="F301" i="5"/>
  <c r="E301" i="5"/>
  <c r="G300" i="5"/>
  <c r="F300" i="5"/>
  <c r="E300" i="5"/>
  <c r="G299" i="5"/>
  <c r="F299" i="5"/>
  <c r="E299" i="5"/>
  <c r="G298" i="5"/>
  <c r="F298" i="5"/>
  <c r="E298" i="5"/>
  <c r="G297" i="5"/>
  <c r="F297" i="5"/>
  <c r="E297" i="5"/>
  <c r="G296" i="5"/>
  <c r="F296" i="5"/>
  <c r="E296" i="5"/>
  <c r="G295" i="5"/>
  <c r="F295" i="5"/>
  <c r="E295" i="5"/>
  <c r="G294" i="5"/>
  <c r="F294" i="5"/>
  <c r="E294" i="5"/>
  <c r="G293" i="5"/>
  <c r="F293" i="5"/>
  <c r="E293" i="5"/>
  <c r="G292" i="5"/>
  <c r="F292" i="5"/>
  <c r="E292" i="5"/>
  <c r="G291" i="5"/>
  <c r="F291" i="5"/>
  <c r="E291" i="5"/>
  <c r="G290" i="5"/>
  <c r="F290" i="5"/>
  <c r="E290" i="5"/>
  <c r="G289" i="5"/>
  <c r="F289" i="5"/>
  <c r="E289" i="5"/>
  <c r="G288" i="5"/>
  <c r="F288" i="5"/>
  <c r="E288" i="5"/>
  <c r="G287" i="5"/>
  <c r="F287" i="5"/>
  <c r="E287" i="5"/>
  <c r="G286" i="5"/>
  <c r="F286" i="5"/>
  <c r="E286" i="5"/>
  <c r="G285" i="5"/>
  <c r="F285" i="5"/>
  <c r="E285" i="5"/>
  <c r="G284" i="5"/>
  <c r="F284" i="5"/>
  <c r="E284" i="5"/>
  <c r="G283" i="5"/>
  <c r="F283" i="5"/>
  <c r="E283" i="5"/>
  <c r="G282" i="5"/>
  <c r="F282" i="5"/>
  <c r="E282" i="5"/>
  <c r="G281" i="5"/>
  <c r="F281" i="5"/>
  <c r="E281" i="5"/>
  <c r="G280" i="5"/>
  <c r="F280" i="5"/>
  <c r="E280" i="5"/>
  <c r="G279" i="5"/>
  <c r="F279" i="5"/>
  <c r="E279" i="5"/>
  <c r="G278" i="5"/>
  <c r="F278" i="5"/>
  <c r="E278" i="5"/>
  <c r="G277" i="5"/>
  <c r="F277" i="5"/>
  <c r="E277" i="5"/>
  <c r="G276" i="5"/>
  <c r="F276" i="5"/>
  <c r="E276" i="5"/>
  <c r="G275" i="5"/>
  <c r="F275" i="5"/>
  <c r="E275" i="5"/>
  <c r="G274" i="5"/>
  <c r="F274" i="5"/>
  <c r="E274" i="5"/>
  <c r="G273" i="5"/>
  <c r="F273" i="5"/>
  <c r="E273" i="5"/>
  <c r="G272" i="5"/>
  <c r="F272" i="5"/>
  <c r="E272" i="5"/>
  <c r="G271" i="5"/>
  <c r="F271" i="5"/>
  <c r="E271" i="5"/>
  <c r="G270" i="5"/>
  <c r="F270" i="5"/>
  <c r="E270" i="5"/>
  <c r="G269" i="5"/>
  <c r="F269" i="5"/>
  <c r="E269" i="5"/>
  <c r="G268" i="5"/>
  <c r="F268" i="5"/>
  <c r="E268" i="5"/>
  <c r="G267" i="5"/>
  <c r="F267" i="5"/>
  <c r="E267" i="5"/>
  <c r="G266" i="5"/>
  <c r="F266" i="5"/>
  <c r="E266" i="5"/>
  <c r="G265" i="5"/>
  <c r="F265" i="5"/>
  <c r="E265" i="5"/>
  <c r="G264" i="5"/>
  <c r="F264" i="5"/>
  <c r="E264" i="5"/>
  <c r="G263" i="5"/>
  <c r="F263" i="5"/>
  <c r="E263" i="5"/>
  <c r="G262" i="5"/>
  <c r="F262" i="5"/>
  <c r="E262" i="5"/>
  <c r="G261" i="5"/>
  <c r="F261" i="5"/>
  <c r="E261" i="5"/>
  <c r="G260" i="5"/>
  <c r="F260" i="5"/>
  <c r="E260" i="5"/>
  <c r="G259" i="5"/>
  <c r="F259" i="5"/>
  <c r="E259" i="5"/>
  <c r="G258" i="5"/>
  <c r="F258" i="5"/>
  <c r="E258" i="5"/>
  <c r="G257" i="5"/>
  <c r="F257" i="5"/>
  <c r="E257" i="5"/>
  <c r="G256" i="5"/>
  <c r="F256" i="5"/>
  <c r="E256" i="5"/>
  <c r="G255" i="5"/>
  <c r="F255" i="5"/>
  <c r="E255" i="5"/>
  <c r="G254" i="5"/>
  <c r="F254" i="5"/>
  <c r="E254" i="5"/>
  <c r="G253" i="5"/>
  <c r="F253" i="5"/>
  <c r="E253" i="5"/>
  <c r="I252" i="5"/>
  <c r="H252" i="5"/>
  <c r="G252" i="5"/>
  <c r="F252" i="5"/>
  <c r="E252" i="5"/>
  <c r="I251" i="5"/>
  <c r="H251" i="5"/>
  <c r="G251" i="5"/>
  <c r="F251" i="5"/>
  <c r="E251" i="5"/>
  <c r="I250" i="5"/>
  <c r="H250" i="5"/>
  <c r="G250" i="5"/>
  <c r="F250" i="5"/>
  <c r="E250" i="5"/>
  <c r="I249" i="5"/>
  <c r="H249" i="5"/>
  <c r="G249" i="5"/>
  <c r="F249" i="5"/>
  <c r="E249" i="5"/>
  <c r="I248" i="5"/>
  <c r="H248" i="5"/>
  <c r="G248" i="5"/>
  <c r="F248" i="5"/>
  <c r="E248" i="5"/>
  <c r="I247" i="5"/>
  <c r="H247" i="5"/>
  <c r="G247" i="5"/>
  <c r="F247" i="5"/>
  <c r="E247" i="5"/>
  <c r="I246" i="5"/>
  <c r="H246" i="5"/>
  <c r="G246" i="5"/>
  <c r="F246" i="5"/>
  <c r="E246" i="5"/>
  <c r="I245" i="5"/>
  <c r="H245" i="5"/>
  <c r="G245" i="5"/>
  <c r="F245" i="5"/>
  <c r="E245" i="5"/>
  <c r="I244" i="5"/>
  <c r="H244" i="5"/>
  <c r="G244" i="5"/>
  <c r="F244" i="5"/>
  <c r="E244" i="5"/>
  <c r="I243" i="5"/>
  <c r="H243" i="5"/>
  <c r="G243" i="5"/>
  <c r="F243" i="5"/>
  <c r="E243" i="5"/>
  <c r="I242" i="5"/>
  <c r="H242" i="5"/>
  <c r="G242" i="5"/>
  <c r="F242" i="5"/>
  <c r="E242" i="5"/>
  <c r="I241" i="5"/>
  <c r="H241" i="5"/>
  <c r="G241" i="5"/>
  <c r="F241" i="5"/>
  <c r="E241" i="5"/>
  <c r="I240" i="5"/>
  <c r="H240" i="5"/>
  <c r="G240" i="5"/>
  <c r="F240" i="5"/>
  <c r="E240" i="5"/>
  <c r="I239" i="5"/>
  <c r="H239" i="5"/>
  <c r="G239" i="5"/>
  <c r="F239" i="5"/>
  <c r="E239" i="5"/>
  <c r="I238" i="5"/>
  <c r="H238" i="5"/>
  <c r="G238" i="5"/>
  <c r="F238" i="5"/>
  <c r="E238" i="5"/>
  <c r="I237" i="5"/>
  <c r="H237" i="5"/>
  <c r="G237" i="5"/>
  <c r="F237" i="5"/>
  <c r="E237" i="5"/>
  <c r="G236" i="5"/>
  <c r="F236" i="5"/>
  <c r="E236" i="5"/>
  <c r="G235" i="5"/>
  <c r="F235" i="5"/>
  <c r="E235" i="5"/>
  <c r="G234" i="5"/>
  <c r="F234" i="5"/>
  <c r="E234" i="5"/>
  <c r="G233" i="5"/>
  <c r="F233" i="5"/>
  <c r="E233" i="5"/>
  <c r="G232" i="5"/>
  <c r="F232" i="5"/>
  <c r="E232" i="5"/>
  <c r="G231" i="5"/>
  <c r="F231" i="5"/>
  <c r="E231" i="5"/>
  <c r="G230" i="5"/>
  <c r="F230" i="5"/>
  <c r="E230" i="5"/>
  <c r="G229" i="5"/>
  <c r="F229" i="5"/>
  <c r="E229" i="5"/>
  <c r="G228" i="5"/>
  <c r="F228" i="5"/>
  <c r="E228" i="5"/>
  <c r="G227" i="5"/>
  <c r="F227" i="5"/>
  <c r="E227" i="5"/>
  <c r="G226" i="5"/>
  <c r="F226" i="5"/>
  <c r="E226" i="5"/>
  <c r="G225" i="5"/>
  <c r="F225" i="5"/>
  <c r="E225" i="5"/>
  <c r="G224" i="5"/>
  <c r="F224" i="5"/>
  <c r="E224" i="5"/>
  <c r="G223" i="5"/>
  <c r="F223" i="5"/>
  <c r="E223" i="5"/>
  <c r="G222" i="5"/>
  <c r="F222" i="5"/>
  <c r="E222" i="5"/>
  <c r="G221" i="5"/>
  <c r="F221" i="5"/>
  <c r="E221" i="5"/>
  <c r="G220" i="5"/>
  <c r="F220" i="5"/>
  <c r="E220" i="5"/>
  <c r="G219" i="5"/>
  <c r="F219" i="5"/>
  <c r="E219" i="5"/>
  <c r="G218" i="5"/>
  <c r="F218" i="5"/>
  <c r="E218" i="5"/>
  <c r="G217" i="5"/>
  <c r="F217" i="5"/>
  <c r="E217" i="5"/>
  <c r="G216" i="5"/>
  <c r="F216" i="5"/>
  <c r="E216" i="5"/>
  <c r="G215" i="5"/>
  <c r="F215" i="5"/>
  <c r="E215" i="5"/>
  <c r="G214" i="5"/>
  <c r="F214" i="5"/>
  <c r="E214" i="5"/>
  <c r="G213" i="5"/>
  <c r="F213" i="5"/>
  <c r="E213" i="5"/>
  <c r="G212" i="5"/>
  <c r="F212" i="5"/>
  <c r="E212" i="5"/>
  <c r="G211" i="5"/>
  <c r="F211" i="5"/>
  <c r="E211" i="5"/>
  <c r="G210" i="5"/>
  <c r="F210" i="5"/>
  <c r="E210" i="5"/>
  <c r="G209" i="5"/>
  <c r="F209" i="5"/>
  <c r="E209" i="5"/>
  <c r="G208" i="5"/>
  <c r="F208" i="5"/>
  <c r="E208" i="5"/>
  <c r="G207" i="5"/>
  <c r="F207" i="5"/>
  <c r="E207" i="5"/>
  <c r="G206" i="5"/>
  <c r="F206" i="5"/>
  <c r="E206" i="5"/>
  <c r="G205" i="5"/>
  <c r="F205" i="5"/>
  <c r="E205" i="5"/>
  <c r="G204" i="5"/>
  <c r="F204" i="5"/>
  <c r="E204" i="5"/>
  <c r="G203" i="5"/>
  <c r="F203" i="5"/>
  <c r="E203" i="5"/>
  <c r="G202" i="5"/>
  <c r="F202" i="5"/>
  <c r="E202" i="5"/>
  <c r="G201" i="5"/>
  <c r="F201" i="5"/>
  <c r="E201" i="5"/>
  <c r="G200" i="5"/>
  <c r="F200" i="5"/>
  <c r="E200" i="5"/>
  <c r="G199" i="5"/>
  <c r="F199" i="5"/>
  <c r="E199" i="5"/>
  <c r="G198" i="5"/>
  <c r="F198" i="5"/>
  <c r="E198" i="5"/>
  <c r="G197" i="5"/>
  <c r="F197" i="5"/>
  <c r="E197" i="5"/>
  <c r="G196" i="5"/>
  <c r="F196" i="5"/>
  <c r="E196" i="5"/>
  <c r="G195" i="5"/>
  <c r="F195" i="5"/>
  <c r="E195" i="5"/>
  <c r="G194" i="5"/>
  <c r="F194" i="5"/>
  <c r="E194" i="5"/>
  <c r="G193" i="5"/>
  <c r="F193" i="5"/>
  <c r="E193" i="5"/>
  <c r="G192" i="5"/>
  <c r="F192" i="5"/>
  <c r="E192" i="5"/>
  <c r="G191" i="5"/>
  <c r="F191" i="5"/>
  <c r="E191" i="5"/>
  <c r="G190" i="5"/>
  <c r="F190" i="5"/>
  <c r="E190" i="5"/>
  <c r="G189" i="5"/>
  <c r="F189" i="5"/>
  <c r="E189" i="5"/>
  <c r="G188" i="5"/>
  <c r="F188" i="5"/>
  <c r="E188" i="5"/>
  <c r="G187" i="5"/>
  <c r="F187" i="5"/>
  <c r="E187" i="5"/>
  <c r="G186" i="5"/>
  <c r="F186" i="5"/>
  <c r="E186" i="5"/>
  <c r="G185" i="5"/>
  <c r="F185" i="5"/>
  <c r="E185" i="5"/>
  <c r="G184" i="5"/>
  <c r="F184" i="5"/>
  <c r="E184" i="5"/>
  <c r="G183" i="5"/>
  <c r="F183" i="5"/>
  <c r="E183" i="5"/>
  <c r="G182" i="5"/>
  <c r="F182" i="5"/>
  <c r="E182" i="5"/>
  <c r="G181" i="5"/>
  <c r="F181" i="5"/>
  <c r="E181" i="5"/>
  <c r="G180" i="5"/>
  <c r="F180" i="5"/>
  <c r="E180" i="5"/>
  <c r="G179" i="5"/>
  <c r="F179" i="5"/>
  <c r="E179" i="5"/>
  <c r="G178" i="5"/>
  <c r="F178" i="5"/>
  <c r="E178" i="5"/>
  <c r="G177" i="5"/>
  <c r="F177" i="5"/>
  <c r="E177" i="5"/>
  <c r="G176" i="5"/>
  <c r="F176" i="5"/>
  <c r="E176" i="5"/>
  <c r="G175" i="5"/>
  <c r="F175" i="5"/>
  <c r="E175" i="5"/>
  <c r="G174" i="5"/>
  <c r="F174" i="5"/>
  <c r="E174" i="5"/>
  <c r="G173" i="5"/>
  <c r="F173" i="5"/>
  <c r="E173" i="5"/>
  <c r="G172" i="5"/>
  <c r="F172" i="5"/>
  <c r="E172" i="5"/>
  <c r="G171" i="5"/>
  <c r="F171" i="5"/>
  <c r="E171" i="5"/>
  <c r="G170" i="5"/>
  <c r="F170" i="5"/>
  <c r="E170" i="5"/>
  <c r="G169" i="5"/>
  <c r="F169" i="5"/>
  <c r="E169" i="5"/>
  <c r="G168" i="5"/>
  <c r="F168" i="5"/>
  <c r="E168" i="5"/>
  <c r="G167" i="5"/>
  <c r="F167" i="5"/>
  <c r="E167" i="5"/>
  <c r="G166" i="5"/>
  <c r="F166" i="5"/>
  <c r="E166" i="5"/>
  <c r="G165" i="5"/>
  <c r="F165" i="5"/>
  <c r="E165" i="5"/>
  <c r="G164" i="5"/>
  <c r="F164" i="5"/>
  <c r="E164" i="5"/>
  <c r="G163" i="5"/>
  <c r="F163" i="5"/>
  <c r="E163" i="5"/>
  <c r="G162" i="5"/>
  <c r="F162" i="5"/>
  <c r="E162" i="5"/>
  <c r="G161" i="5"/>
  <c r="F161" i="5"/>
  <c r="E161" i="5"/>
  <c r="G160" i="5"/>
  <c r="F160" i="5"/>
  <c r="E160" i="5"/>
  <c r="G159" i="5"/>
  <c r="F159" i="5"/>
  <c r="E159" i="5"/>
  <c r="G158" i="5"/>
  <c r="F158" i="5"/>
  <c r="E158" i="5"/>
  <c r="G157" i="5"/>
  <c r="F157" i="5"/>
  <c r="E157" i="5"/>
  <c r="G156" i="5"/>
  <c r="F156" i="5"/>
  <c r="E156" i="5"/>
  <c r="G155" i="5"/>
  <c r="F155" i="5"/>
  <c r="E155" i="5"/>
  <c r="G154" i="5"/>
  <c r="F154" i="5"/>
  <c r="E154" i="5"/>
  <c r="G153" i="5"/>
  <c r="F153" i="5"/>
  <c r="E153" i="5"/>
  <c r="G152" i="5"/>
  <c r="F152" i="5"/>
  <c r="E152" i="5"/>
  <c r="G151" i="5"/>
  <c r="F151" i="5"/>
  <c r="E151" i="5"/>
  <c r="G150" i="5"/>
  <c r="F150" i="5"/>
  <c r="E150" i="5"/>
  <c r="G149" i="5"/>
  <c r="F149" i="5"/>
  <c r="E149" i="5"/>
  <c r="G148" i="5"/>
  <c r="F148" i="5"/>
  <c r="E148" i="5"/>
  <c r="G147" i="5"/>
  <c r="F147" i="5"/>
  <c r="E147" i="5"/>
  <c r="I146" i="5"/>
  <c r="H146" i="5"/>
  <c r="G146" i="5"/>
  <c r="F146" i="5"/>
  <c r="E146" i="5"/>
  <c r="I145" i="5"/>
  <c r="H145" i="5"/>
  <c r="G145" i="5"/>
  <c r="F145" i="5"/>
  <c r="E145" i="5"/>
  <c r="I144" i="5"/>
  <c r="H144" i="5"/>
  <c r="G144" i="5"/>
  <c r="F144" i="5"/>
  <c r="E144" i="5"/>
  <c r="I143" i="5"/>
  <c r="H143" i="5"/>
  <c r="G143" i="5"/>
  <c r="F143" i="5"/>
  <c r="E143" i="5"/>
  <c r="I142" i="5"/>
  <c r="H142" i="5"/>
  <c r="G142" i="5"/>
  <c r="F142" i="5"/>
  <c r="E142" i="5"/>
  <c r="I141" i="5"/>
  <c r="H141" i="5"/>
  <c r="G141" i="5"/>
  <c r="F141" i="5"/>
  <c r="E141" i="5"/>
  <c r="I140" i="5"/>
  <c r="H140" i="5"/>
  <c r="G140" i="5"/>
  <c r="F140" i="5"/>
  <c r="E140" i="5"/>
  <c r="I139" i="5"/>
  <c r="H139" i="5"/>
  <c r="G139" i="5"/>
  <c r="F139" i="5"/>
  <c r="E139" i="5"/>
  <c r="I138" i="5"/>
  <c r="H138" i="5"/>
  <c r="G138" i="5"/>
  <c r="F138" i="5"/>
  <c r="E138" i="5"/>
  <c r="I137" i="5"/>
  <c r="H137" i="5"/>
  <c r="G137" i="5"/>
  <c r="F137" i="5"/>
  <c r="E137" i="5"/>
  <c r="I136" i="5"/>
  <c r="H136" i="5"/>
  <c r="G136" i="5"/>
  <c r="F136" i="5"/>
  <c r="E136" i="5"/>
  <c r="I135" i="5"/>
  <c r="H135" i="5"/>
  <c r="G135" i="5"/>
  <c r="F135" i="5"/>
  <c r="E135" i="5"/>
  <c r="I134" i="5"/>
  <c r="H134" i="5"/>
  <c r="G134" i="5"/>
  <c r="F134" i="5"/>
  <c r="E134" i="5"/>
  <c r="I133" i="5"/>
  <c r="H133" i="5"/>
  <c r="G133" i="5"/>
  <c r="F133" i="5"/>
  <c r="E133" i="5"/>
  <c r="I132" i="5"/>
  <c r="H132" i="5"/>
  <c r="G132" i="5"/>
  <c r="F132" i="5"/>
  <c r="E132" i="5"/>
  <c r="I131" i="5"/>
  <c r="H131" i="5"/>
  <c r="G131" i="5"/>
  <c r="F131" i="5"/>
  <c r="E131" i="5"/>
  <c r="I130" i="5"/>
  <c r="H130" i="5"/>
  <c r="G130" i="5"/>
  <c r="F130" i="5"/>
  <c r="E130" i="5"/>
  <c r="I129" i="5"/>
  <c r="H129" i="5"/>
  <c r="G129" i="5"/>
  <c r="F129" i="5"/>
  <c r="E129" i="5"/>
  <c r="I128" i="5"/>
  <c r="H128" i="5"/>
  <c r="G128" i="5"/>
  <c r="F128" i="5"/>
  <c r="E128" i="5"/>
  <c r="I127" i="5"/>
  <c r="H127" i="5"/>
  <c r="G127" i="5"/>
  <c r="F127" i="5"/>
  <c r="E127" i="5"/>
  <c r="I126" i="5"/>
  <c r="H126" i="5"/>
  <c r="G126" i="5"/>
  <c r="F126" i="5"/>
  <c r="E126" i="5"/>
  <c r="I125" i="5"/>
  <c r="H125" i="5"/>
  <c r="G125" i="5"/>
  <c r="F125" i="5"/>
  <c r="E125" i="5"/>
  <c r="I124" i="5"/>
  <c r="H124" i="5"/>
  <c r="G124" i="5"/>
  <c r="F124" i="5"/>
  <c r="E124" i="5"/>
  <c r="I123" i="5"/>
  <c r="H123" i="5"/>
  <c r="G123" i="5"/>
  <c r="F123" i="5"/>
  <c r="E123" i="5"/>
  <c r="I122" i="5"/>
  <c r="H122" i="5"/>
  <c r="G122" i="5"/>
  <c r="F122" i="5"/>
  <c r="E122" i="5"/>
  <c r="G121" i="5"/>
  <c r="F121" i="5"/>
  <c r="E121" i="5"/>
  <c r="G120" i="5"/>
  <c r="F120" i="5"/>
  <c r="E120" i="5"/>
  <c r="G119" i="5"/>
  <c r="F119" i="5"/>
  <c r="E119" i="5"/>
  <c r="G118" i="5"/>
  <c r="F118" i="5"/>
  <c r="E118" i="5"/>
  <c r="G117" i="5"/>
  <c r="F117" i="5"/>
  <c r="E117" i="5"/>
  <c r="G116" i="5"/>
  <c r="F116" i="5"/>
  <c r="E116" i="5"/>
  <c r="G115" i="5"/>
  <c r="F115" i="5"/>
  <c r="E115" i="5"/>
  <c r="G114" i="5"/>
  <c r="F114" i="5"/>
  <c r="E114" i="5"/>
  <c r="G113" i="5"/>
  <c r="F113" i="5"/>
  <c r="E113" i="5"/>
  <c r="G112" i="5"/>
  <c r="F112" i="5"/>
  <c r="E112" i="5"/>
  <c r="G111" i="5"/>
  <c r="F111" i="5"/>
  <c r="E111" i="5"/>
  <c r="G110" i="5"/>
  <c r="F110" i="5"/>
  <c r="E110" i="5"/>
  <c r="G109" i="5"/>
  <c r="F109" i="5"/>
  <c r="E109" i="5"/>
  <c r="H108" i="5"/>
  <c r="G108" i="5"/>
  <c r="F108" i="5"/>
  <c r="E108" i="5"/>
  <c r="H107" i="5"/>
  <c r="G107" i="5"/>
  <c r="F107" i="5"/>
  <c r="E107" i="5"/>
  <c r="I106" i="5"/>
  <c r="H106" i="5"/>
  <c r="G106" i="5"/>
  <c r="F106" i="5"/>
  <c r="E106" i="5"/>
  <c r="I105" i="5"/>
  <c r="H105" i="5"/>
  <c r="G105" i="5"/>
  <c r="F105" i="5"/>
  <c r="E105" i="5"/>
  <c r="I104" i="5"/>
  <c r="H104" i="5"/>
  <c r="G104" i="5"/>
  <c r="F104" i="5"/>
  <c r="E104" i="5"/>
  <c r="I103" i="5"/>
  <c r="H103" i="5"/>
  <c r="G103" i="5"/>
  <c r="F103" i="5"/>
  <c r="E103" i="5"/>
  <c r="I102" i="5"/>
  <c r="H102" i="5"/>
  <c r="G102" i="5"/>
  <c r="F102" i="5"/>
  <c r="E102" i="5"/>
  <c r="I101" i="5"/>
  <c r="H101" i="5"/>
  <c r="G101" i="5"/>
  <c r="F101" i="5"/>
  <c r="E101" i="5"/>
  <c r="I100" i="5"/>
  <c r="H100" i="5"/>
  <c r="G100" i="5"/>
  <c r="F100" i="5"/>
  <c r="E100" i="5"/>
  <c r="I99" i="5"/>
  <c r="H99" i="5"/>
  <c r="G99" i="5"/>
  <c r="F99" i="5"/>
  <c r="E99" i="5"/>
  <c r="I98" i="5"/>
  <c r="H98" i="5"/>
  <c r="G98" i="5"/>
  <c r="F98" i="5"/>
  <c r="E98" i="5"/>
  <c r="I97" i="5"/>
  <c r="H97" i="5"/>
  <c r="G97" i="5"/>
  <c r="F97" i="5"/>
  <c r="E97" i="5"/>
  <c r="I96" i="5"/>
  <c r="H96" i="5"/>
  <c r="G96" i="5"/>
  <c r="F96" i="5"/>
  <c r="E96" i="5"/>
  <c r="I95" i="5"/>
  <c r="H95" i="5"/>
  <c r="G95" i="5"/>
  <c r="F95" i="5"/>
  <c r="E95" i="5"/>
  <c r="I94" i="5"/>
  <c r="H94" i="5"/>
  <c r="G94" i="5"/>
  <c r="F94" i="5"/>
  <c r="E94" i="5"/>
  <c r="I93" i="5"/>
  <c r="H93" i="5"/>
  <c r="G93" i="5"/>
  <c r="F93" i="5"/>
  <c r="E93" i="5"/>
  <c r="I92" i="5"/>
  <c r="H92" i="5"/>
  <c r="G92" i="5"/>
  <c r="F92" i="5"/>
  <c r="E92" i="5"/>
  <c r="I91" i="5"/>
  <c r="H91" i="5"/>
  <c r="G91" i="5"/>
  <c r="F91" i="5"/>
  <c r="E91" i="5"/>
  <c r="I90" i="5"/>
  <c r="H90" i="5"/>
  <c r="G90" i="5"/>
  <c r="F90" i="5"/>
  <c r="E90" i="5"/>
  <c r="I89" i="5"/>
  <c r="H89" i="5"/>
  <c r="G89" i="5"/>
  <c r="F89" i="5"/>
  <c r="E89" i="5"/>
  <c r="I88" i="5"/>
  <c r="H88" i="5"/>
  <c r="G88" i="5"/>
  <c r="F88" i="5"/>
  <c r="E88" i="5"/>
  <c r="I87" i="5"/>
  <c r="H87" i="5"/>
  <c r="G87" i="5"/>
  <c r="F87" i="5"/>
  <c r="E87" i="5"/>
  <c r="I86" i="5"/>
  <c r="H86" i="5"/>
  <c r="G86" i="5"/>
  <c r="F86" i="5"/>
  <c r="E86" i="5"/>
  <c r="I85" i="5"/>
  <c r="H85" i="5"/>
  <c r="G85" i="5"/>
  <c r="F85" i="5"/>
  <c r="E85" i="5"/>
  <c r="I84" i="5"/>
  <c r="H84" i="5"/>
  <c r="G84" i="5"/>
  <c r="F84" i="5"/>
  <c r="E84" i="5"/>
  <c r="I83" i="5"/>
  <c r="H83" i="5"/>
  <c r="G83" i="5"/>
  <c r="F83" i="5"/>
  <c r="E83" i="5"/>
  <c r="I82" i="5"/>
  <c r="H82" i="5"/>
  <c r="G82" i="5"/>
  <c r="F82" i="5"/>
  <c r="E82" i="5"/>
  <c r="I81" i="5"/>
  <c r="H81" i="5"/>
  <c r="G81" i="5"/>
  <c r="F81" i="5"/>
  <c r="E81" i="5"/>
  <c r="I80" i="5"/>
  <c r="H80" i="5"/>
  <c r="G80" i="5"/>
  <c r="F80" i="5"/>
  <c r="E80" i="5"/>
  <c r="I79" i="5"/>
  <c r="H79" i="5"/>
  <c r="G79" i="5"/>
  <c r="F79" i="5"/>
  <c r="E79" i="5"/>
  <c r="I78" i="5"/>
  <c r="H78" i="5"/>
  <c r="G78" i="5"/>
  <c r="F78" i="5"/>
  <c r="E78" i="5"/>
  <c r="I77" i="5"/>
  <c r="H77" i="5"/>
  <c r="G77" i="5"/>
  <c r="F77" i="5"/>
  <c r="E77" i="5"/>
  <c r="I76" i="5"/>
  <c r="H76" i="5"/>
  <c r="G76" i="5"/>
  <c r="F76" i="5"/>
  <c r="E76" i="5"/>
  <c r="I75" i="5"/>
  <c r="H75" i="5"/>
  <c r="G75" i="5"/>
  <c r="F75" i="5"/>
  <c r="E75" i="5"/>
  <c r="I74" i="5"/>
  <c r="H74" i="5"/>
  <c r="G74" i="5"/>
  <c r="F74" i="5"/>
  <c r="E74" i="5"/>
  <c r="I73" i="5"/>
  <c r="H73" i="5"/>
  <c r="G73" i="5"/>
  <c r="F73" i="5"/>
  <c r="E73" i="5"/>
  <c r="I72" i="5"/>
  <c r="H72" i="5"/>
  <c r="G72" i="5"/>
  <c r="F72" i="5"/>
  <c r="E72" i="5"/>
  <c r="I71" i="5"/>
  <c r="H71" i="5"/>
  <c r="G71" i="5"/>
  <c r="F71" i="5"/>
  <c r="E71" i="5"/>
  <c r="I70" i="5"/>
  <c r="H70" i="5"/>
  <c r="G70" i="5"/>
  <c r="F70" i="5"/>
  <c r="E70" i="5"/>
  <c r="I69" i="5"/>
  <c r="H69" i="5"/>
  <c r="G69" i="5"/>
  <c r="F69" i="5"/>
  <c r="E69" i="5"/>
  <c r="I68" i="5"/>
  <c r="H68" i="5"/>
  <c r="G68" i="5"/>
  <c r="F68" i="5"/>
  <c r="E68" i="5"/>
  <c r="I67" i="5"/>
  <c r="H67" i="5"/>
  <c r="G67" i="5"/>
  <c r="F67" i="5"/>
  <c r="E67" i="5"/>
  <c r="I66" i="5"/>
  <c r="H66" i="5"/>
  <c r="G66" i="5"/>
  <c r="F66" i="5"/>
  <c r="E66" i="5"/>
  <c r="I65" i="5"/>
  <c r="H65" i="5"/>
  <c r="G65" i="5"/>
  <c r="F65" i="5"/>
  <c r="E65" i="5"/>
  <c r="G64" i="5"/>
  <c r="F64" i="5"/>
  <c r="E64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4" i="5"/>
  <c r="F4" i="5"/>
  <c r="E4" i="5"/>
  <c r="G3" i="5"/>
  <c r="F3" i="5"/>
  <c r="E3" i="5"/>
  <c r="G2" i="5"/>
  <c r="F2" i="5"/>
  <c r="E2" i="5"/>
  <c r="F201" i="4"/>
  <c r="E201" i="4"/>
  <c r="F200" i="4"/>
  <c r="E200" i="4"/>
  <c r="F199" i="4"/>
  <c r="E199" i="4"/>
  <c r="F198" i="4"/>
  <c r="H512" i="5" s="1"/>
  <c r="E198" i="4"/>
  <c r="I512" i="5" s="1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H470" i="5" s="1"/>
  <c r="E181" i="4"/>
  <c r="I470" i="5" s="1"/>
  <c r="F180" i="4"/>
  <c r="H469" i="5" s="1"/>
  <c r="E180" i="4"/>
  <c r="I469" i="5" s="1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H417" i="5" s="1"/>
  <c r="E162" i="4"/>
  <c r="I417" i="5" s="1"/>
  <c r="F161" i="4"/>
  <c r="H416" i="5" s="1"/>
  <c r="E161" i="4"/>
  <c r="I416" i="5" s="1"/>
  <c r="F160" i="4"/>
  <c r="E160" i="4"/>
  <c r="F159" i="4"/>
  <c r="E159" i="4"/>
  <c r="F158" i="4"/>
  <c r="H408" i="5" s="1"/>
  <c r="E158" i="4"/>
  <c r="I408" i="5" s="1"/>
  <c r="F157" i="4"/>
  <c r="E157" i="4"/>
  <c r="F156" i="4"/>
  <c r="E156" i="4"/>
  <c r="F155" i="4"/>
  <c r="E155" i="4"/>
  <c r="F154" i="4"/>
  <c r="E154" i="4"/>
  <c r="F153" i="4"/>
  <c r="H396" i="5" s="1"/>
  <c r="E153" i="4"/>
  <c r="I396" i="5" s="1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H358" i="5" s="1"/>
  <c r="E140" i="4"/>
  <c r="I358" i="5" s="1"/>
  <c r="F139" i="4"/>
  <c r="E139" i="4"/>
  <c r="F138" i="4"/>
  <c r="E138" i="4"/>
  <c r="F137" i="4"/>
  <c r="E137" i="4"/>
  <c r="F136" i="4"/>
  <c r="E136" i="4"/>
  <c r="F135" i="4"/>
  <c r="E135" i="4"/>
  <c r="F134" i="4"/>
  <c r="H340" i="5" s="1"/>
  <c r="E134" i="4"/>
  <c r="I340" i="5" s="1"/>
  <c r="F133" i="4"/>
  <c r="E133" i="4"/>
  <c r="F132" i="4"/>
  <c r="E132" i="4"/>
  <c r="F131" i="4"/>
  <c r="H333" i="5" s="1"/>
  <c r="E131" i="4"/>
  <c r="I333" i="5" s="1"/>
  <c r="F130" i="4"/>
  <c r="H332" i="5" s="1"/>
  <c r="E130" i="4"/>
  <c r="I332" i="5" s="1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H303" i="5" s="1"/>
  <c r="E120" i="4"/>
  <c r="I303" i="5" s="1"/>
  <c r="F119" i="4"/>
  <c r="H302" i="5" s="1"/>
  <c r="E119" i="4"/>
  <c r="I302" i="5" s="1"/>
  <c r="F118" i="4"/>
  <c r="E118" i="4"/>
  <c r="F117" i="4"/>
  <c r="E117" i="4"/>
  <c r="F116" i="4"/>
  <c r="H294" i="5" s="1"/>
  <c r="E116" i="4"/>
  <c r="I294" i="5" s="1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H236" i="5" s="1"/>
  <c r="E95" i="4"/>
  <c r="I236" i="5" s="1"/>
  <c r="F94" i="4"/>
  <c r="H235" i="5" s="1"/>
  <c r="E94" i="4"/>
  <c r="I235" i="5" s="1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H209" i="5" s="1"/>
  <c r="E84" i="4"/>
  <c r="F83" i="4"/>
  <c r="E83" i="4"/>
  <c r="F82" i="4"/>
  <c r="E82" i="4"/>
  <c r="F81" i="4"/>
  <c r="E81" i="4"/>
  <c r="F80" i="4"/>
  <c r="E80" i="4"/>
  <c r="F79" i="4"/>
  <c r="E79" i="4"/>
  <c r="F78" i="4"/>
  <c r="H193" i="5" s="1"/>
  <c r="E78" i="4"/>
  <c r="I193" i="5" s="1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H147" i="5" s="1"/>
  <c r="E62" i="4"/>
  <c r="I147" i="5" s="1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I107" i="5" s="1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H64" i="5" s="1"/>
  <c r="E27" i="4"/>
  <c r="I64" i="5" s="1"/>
  <c r="F26" i="4"/>
  <c r="E26" i="4"/>
  <c r="F25" i="4"/>
  <c r="E25" i="4"/>
  <c r="F24" i="4"/>
  <c r="H57" i="5" s="1"/>
  <c r="E24" i="4"/>
  <c r="I57" i="5" s="1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H38" i="5" s="1"/>
  <c r="E16" i="4"/>
  <c r="I38" i="5" s="1"/>
  <c r="F15" i="4"/>
  <c r="E15" i="4"/>
  <c r="F14" i="4"/>
  <c r="E14" i="4"/>
  <c r="F13" i="4"/>
  <c r="E13" i="4"/>
  <c r="F12" i="4"/>
  <c r="H26" i="5" s="1"/>
  <c r="E12" i="4"/>
  <c r="I26" i="5" s="1"/>
  <c r="F11" i="4"/>
  <c r="E11" i="4"/>
  <c r="F10" i="4"/>
  <c r="E10" i="4"/>
  <c r="F9" i="4"/>
  <c r="E9" i="4"/>
  <c r="F8" i="4"/>
  <c r="H14" i="5" s="1"/>
  <c r="E8" i="4"/>
  <c r="I14" i="5" s="1"/>
  <c r="F7" i="4"/>
  <c r="E7" i="4"/>
  <c r="F6" i="4"/>
  <c r="E6" i="4"/>
  <c r="F5" i="4"/>
  <c r="E5" i="4"/>
  <c r="F4" i="4"/>
  <c r="E4" i="4"/>
  <c r="F3" i="4"/>
  <c r="H3" i="5" s="1"/>
  <c r="E3" i="4"/>
  <c r="I3" i="5" s="1"/>
  <c r="F2" i="4"/>
  <c r="H2" i="5" s="1"/>
  <c r="E2" i="4"/>
  <c r="I2" i="5" s="1"/>
  <c r="E101" i="2"/>
  <c r="D101" i="2"/>
  <c r="F101" i="2" s="1"/>
  <c r="E100" i="2"/>
  <c r="D100" i="2"/>
  <c r="F100" i="2" s="1"/>
  <c r="E99" i="2"/>
  <c r="D99" i="2"/>
  <c r="F99" i="2" s="1"/>
  <c r="E98" i="2"/>
  <c r="D98" i="2"/>
  <c r="F98" i="2" s="1"/>
  <c r="E97" i="2"/>
  <c r="D97" i="2"/>
  <c r="F97" i="2" s="1"/>
  <c r="E96" i="2"/>
  <c r="D96" i="2"/>
  <c r="F96" i="2" s="1"/>
  <c r="E95" i="2"/>
  <c r="D95" i="2"/>
  <c r="F95" i="2" s="1"/>
  <c r="E94" i="2"/>
  <c r="D94" i="2"/>
  <c r="F94" i="2" s="1"/>
  <c r="E93" i="2"/>
  <c r="D93" i="2"/>
  <c r="F93" i="2" s="1"/>
  <c r="E92" i="2"/>
  <c r="D92" i="2"/>
  <c r="F92" i="2" s="1"/>
  <c r="E91" i="2"/>
  <c r="D91" i="2"/>
  <c r="F91" i="2" s="1"/>
  <c r="E90" i="2"/>
  <c r="D90" i="2"/>
  <c r="F90" i="2" s="1"/>
  <c r="E89" i="2"/>
  <c r="D89" i="2"/>
  <c r="F89" i="2" s="1"/>
  <c r="E88" i="2"/>
  <c r="D88" i="2"/>
  <c r="F88" i="2" s="1"/>
  <c r="E87" i="2"/>
  <c r="D87" i="2"/>
  <c r="F87" i="2" s="1"/>
  <c r="E86" i="2"/>
  <c r="D86" i="2"/>
  <c r="F86" i="2" s="1"/>
  <c r="E85" i="2"/>
  <c r="D85" i="2"/>
  <c r="F85" i="2" s="1"/>
  <c r="E84" i="2"/>
  <c r="D84" i="2"/>
  <c r="F84" i="2" s="1"/>
  <c r="E83" i="2"/>
  <c r="D83" i="2"/>
  <c r="F83" i="2" s="1"/>
  <c r="E82" i="2"/>
  <c r="D82" i="2"/>
  <c r="F82" i="2" s="1"/>
  <c r="E81" i="2"/>
  <c r="D81" i="2"/>
  <c r="F81" i="2" s="1"/>
  <c r="E80" i="2"/>
  <c r="D80" i="2"/>
  <c r="F80" i="2" s="1"/>
  <c r="E79" i="2"/>
  <c r="D79" i="2"/>
  <c r="F79" i="2" s="1"/>
  <c r="E78" i="2"/>
  <c r="D78" i="2"/>
  <c r="F78" i="2" s="1"/>
  <c r="E77" i="2"/>
  <c r="D77" i="2"/>
  <c r="F77" i="2" s="1"/>
  <c r="E76" i="2"/>
  <c r="D76" i="2"/>
  <c r="F76" i="2" s="1"/>
  <c r="E75" i="2"/>
  <c r="D75" i="2"/>
  <c r="F75" i="2" s="1"/>
  <c r="E74" i="2"/>
  <c r="D74" i="2"/>
  <c r="F74" i="2" s="1"/>
  <c r="E73" i="2"/>
  <c r="D73" i="2"/>
  <c r="F73" i="2" s="1"/>
  <c r="E72" i="2"/>
  <c r="D72" i="2"/>
  <c r="F72" i="2" s="1"/>
  <c r="E71" i="2"/>
  <c r="D71" i="2"/>
  <c r="F71" i="2" s="1"/>
  <c r="E70" i="2"/>
  <c r="D70" i="2"/>
  <c r="F70" i="2" s="1"/>
  <c r="E69" i="2"/>
  <c r="D69" i="2"/>
  <c r="F69" i="2" s="1"/>
  <c r="E68" i="2"/>
  <c r="D68" i="2"/>
  <c r="F68" i="2" s="1"/>
  <c r="E67" i="2"/>
  <c r="D67" i="2"/>
  <c r="F67" i="2" s="1"/>
  <c r="E66" i="2"/>
  <c r="D66" i="2"/>
  <c r="F66" i="2" s="1"/>
  <c r="E65" i="2"/>
  <c r="D65" i="2"/>
  <c r="F65" i="2" s="1"/>
  <c r="E64" i="2"/>
  <c r="D64" i="2"/>
  <c r="F64" i="2" s="1"/>
  <c r="E63" i="2"/>
  <c r="D63" i="2"/>
  <c r="F63" i="2" s="1"/>
  <c r="E62" i="2"/>
  <c r="D62" i="2"/>
  <c r="F62" i="2" s="1"/>
  <c r="E61" i="2"/>
  <c r="D61" i="2"/>
  <c r="F61" i="2" s="1"/>
  <c r="E60" i="2"/>
  <c r="D60" i="2"/>
  <c r="F60" i="2" s="1"/>
  <c r="E59" i="2"/>
  <c r="D59" i="2"/>
  <c r="F59" i="2" s="1"/>
  <c r="E58" i="2"/>
  <c r="D58" i="2"/>
  <c r="F58" i="2" s="1"/>
  <c r="E57" i="2"/>
  <c r="D57" i="2"/>
  <c r="F57" i="2" s="1"/>
  <c r="E56" i="2"/>
  <c r="D56" i="2"/>
  <c r="F56" i="2" s="1"/>
  <c r="E55" i="2"/>
  <c r="D55" i="2"/>
  <c r="F55" i="2" s="1"/>
  <c r="E54" i="2"/>
  <c r="D54" i="2"/>
  <c r="F54" i="2" s="1"/>
  <c r="E53" i="2"/>
  <c r="D53" i="2"/>
  <c r="F53" i="2" s="1"/>
  <c r="E52" i="2"/>
  <c r="D52" i="2"/>
  <c r="F52" i="2" s="1"/>
  <c r="E51" i="2"/>
  <c r="D51" i="2"/>
  <c r="F51" i="2" s="1"/>
  <c r="E50" i="2"/>
  <c r="D50" i="2"/>
  <c r="F50" i="2" s="1"/>
  <c r="E49" i="2"/>
  <c r="D49" i="2"/>
  <c r="F49" i="2" s="1"/>
  <c r="E48" i="2"/>
  <c r="D48" i="2"/>
  <c r="F48" i="2" s="1"/>
  <c r="E47" i="2"/>
  <c r="D47" i="2"/>
  <c r="F47" i="2" s="1"/>
  <c r="E46" i="2"/>
  <c r="D46" i="2"/>
  <c r="F46" i="2" s="1"/>
  <c r="E45" i="2"/>
  <c r="D45" i="2"/>
  <c r="F45" i="2" s="1"/>
  <c r="E44" i="2"/>
  <c r="D44" i="2"/>
  <c r="F44" i="2" s="1"/>
  <c r="E43" i="2"/>
  <c r="D43" i="2"/>
  <c r="F43" i="2" s="1"/>
  <c r="E42" i="2"/>
  <c r="D42" i="2"/>
  <c r="F42" i="2" s="1"/>
  <c r="E41" i="2"/>
  <c r="D41" i="2"/>
  <c r="F41" i="2" s="1"/>
  <c r="E40" i="2"/>
  <c r="D40" i="2"/>
  <c r="F40" i="2" s="1"/>
  <c r="E39" i="2"/>
  <c r="D39" i="2"/>
  <c r="F39" i="2" s="1"/>
  <c r="E38" i="2"/>
  <c r="D38" i="2"/>
  <c r="F38" i="2" s="1"/>
  <c r="E37" i="2"/>
  <c r="D37" i="2"/>
  <c r="F37" i="2" s="1"/>
  <c r="E36" i="2"/>
  <c r="D36" i="2"/>
  <c r="F36" i="2" s="1"/>
  <c r="E35" i="2"/>
  <c r="D35" i="2"/>
  <c r="F35" i="2" s="1"/>
  <c r="E34" i="2"/>
  <c r="D34" i="2"/>
  <c r="F34" i="2" s="1"/>
  <c r="E33" i="2"/>
  <c r="D33" i="2"/>
  <c r="F33" i="2" s="1"/>
  <c r="E32" i="2"/>
  <c r="D32" i="2"/>
  <c r="F32" i="2" s="1"/>
  <c r="E31" i="2"/>
  <c r="D31" i="2"/>
  <c r="F31" i="2" s="1"/>
  <c r="E30" i="2"/>
  <c r="D30" i="2"/>
  <c r="F30" i="2" s="1"/>
  <c r="E29" i="2"/>
  <c r="D29" i="2"/>
  <c r="F29" i="2" s="1"/>
  <c r="E28" i="2"/>
  <c r="D28" i="2"/>
  <c r="F28" i="2" s="1"/>
  <c r="E27" i="2"/>
  <c r="D27" i="2"/>
  <c r="F27" i="2" s="1"/>
  <c r="E26" i="2"/>
  <c r="D26" i="2"/>
  <c r="F26" i="2" s="1"/>
  <c r="E25" i="2"/>
  <c r="D25" i="2"/>
  <c r="F25" i="2" s="1"/>
  <c r="E24" i="2"/>
  <c r="D24" i="2"/>
  <c r="F24" i="2" s="1"/>
  <c r="E23" i="2"/>
  <c r="D23" i="2"/>
  <c r="F23" i="2" s="1"/>
  <c r="E22" i="2"/>
  <c r="D22" i="2"/>
  <c r="F22" i="2" s="1"/>
  <c r="E21" i="2"/>
  <c r="D21" i="2"/>
  <c r="F21" i="2" s="1"/>
  <c r="E20" i="2"/>
  <c r="D20" i="2"/>
  <c r="F20" i="2" s="1"/>
  <c r="E19" i="2"/>
  <c r="D19" i="2"/>
  <c r="F19" i="2" s="1"/>
  <c r="E18" i="2"/>
  <c r="D18" i="2"/>
  <c r="F18" i="2" s="1"/>
  <c r="E17" i="2"/>
  <c r="D17" i="2"/>
  <c r="F17" i="2" s="1"/>
  <c r="E16" i="2"/>
  <c r="D16" i="2"/>
  <c r="F16" i="2" s="1"/>
  <c r="E15" i="2"/>
  <c r="D15" i="2"/>
  <c r="F15" i="2" s="1"/>
  <c r="E14" i="2"/>
  <c r="D14" i="2"/>
  <c r="F14" i="2" s="1"/>
  <c r="E13" i="2"/>
  <c r="D13" i="2"/>
  <c r="F13" i="2" s="1"/>
  <c r="E12" i="2"/>
  <c r="D12" i="2"/>
  <c r="F12" i="2" s="1"/>
  <c r="E11" i="2"/>
  <c r="D11" i="2"/>
  <c r="F11" i="2" s="1"/>
  <c r="E10" i="2"/>
  <c r="D10" i="2"/>
  <c r="F10" i="2" s="1"/>
  <c r="E9" i="2"/>
  <c r="D9" i="2"/>
  <c r="F9" i="2" s="1"/>
  <c r="E8" i="2"/>
  <c r="D8" i="2"/>
  <c r="F8" i="2" s="1"/>
  <c r="E7" i="2"/>
  <c r="D7" i="2"/>
  <c r="F7" i="2" s="1"/>
  <c r="E6" i="2"/>
  <c r="D6" i="2"/>
  <c r="F6" i="2" s="1"/>
  <c r="E5" i="2"/>
  <c r="D5" i="2"/>
  <c r="F5" i="2" s="1"/>
  <c r="E4" i="2"/>
  <c r="D4" i="2"/>
  <c r="F4" i="2" s="1"/>
  <c r="E3" i="2"/>
  <c r="D3" i="2"/>
  <c r="F3" i="2" s="1"/>
  <c r="E2" i="2"/>
  <c r="D2" i="2"/>
  <c r="F2" i="2" s="1"/>
  <c r="D99" i="1"/>
  <c r="C99" i="1"/>
  <c r="D98" i="1"/>
  <c r="C98" i="1"/>
  <c r="D97" i="1"/>
  <c r="C97" i="1"/>
  <c r="D96" i="1"/>
  <c r="C96" i="1"/>
  <c r="D95" i="1"/>
  <c r="C95" i="1"/>
  <c r="E81" i="1"/>
  <c r="E80" i="1"/>
  <c r="E79" i="1"/>
  <c r="E78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21" i="1"/>
  <c r="D21" i="1"/>
  <c r="E20" i="1"/>
  <c r="F20" i="1" s="1"/>
  <c r="D20" i="1"/>
  <c r="E19" i="1"/>
  <c r="D19" i="1"/>
  <c r="E18" i="1"/>
  <c r="D18" i="1"/>
  <c r="E17" i="1"/>
  <c r="F17" i="1" s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E22" i="1" s="1"/>
  <c r="D10" i="1"/>
  <c r="D22" i="1" s="1"/>
  <c r="F5" i="1"/>
  <c r="G5" i="1" s="1"/>
  <c r="E5" i="1"/>
  <c r="C5" i="1"/>
  <c r="B5" i="1"/>
  <c r="D5" i="1" s="1"/>
  <c r="O8" i="6" l="1"/>
  <c r="E99" i="1" s="1"/>
  <c r="O7" i="6"/>
  <c r="E98" i="1" s="1"/>
  <c r="O6" i="6"/>
  <c r="E97" i="1" s="1"/>
  <c r="O5" i="6"/>
  <c r="E96" i="1" s="1"/>
  <c r="F21" i="1"/>
  <c r="F15" i="1"/>
  <c r="F11" i="1"/>
  <c r="F18" i="1"/>
  <c r="F13" i="1"/>
  <c r="F14" i="1"/>
  <c r="F16" i="1"/>
  <c r="F12" i="1"/>
  <c r="F19" i="1"/>
  <c r="H520" i="5"/>
  <c r="H519" i="5"/>
  <c r="H518" i="5"/>
  <c r="I520" i="5"/>
  <c r="I519" i="5"/>
  <c r="I518" i="5"/>
  <c r="H517" i="5"/>
  <c r="H516" i="5"/>
  <c r="I517" i="5"/>
  <c r="I516" i="5"/>
  <c r="H515" i="5"/>
  <c r="H514" i="5"/>
  <c r="H513" i="5"/>
  <c r="I515" i="5"/>
  <c r="I514" i="5"/>
  <c r="I513" i="5"/>
  <c r="H511" i="5"/>
  <c r="H510" i="5"/>
  <c r="I511" i="5"/>
  <c r="I510" i="5"/>
  <c r="H509" i="5"/>
  <c r="H508" i="5"/>
  <c r="H507" i="5"/>
  <c r="I509" i="5"/>
  <c r="I508" i="5"/>
  <c r="I507" i="5"/>
  <c r="H505" i="5"/>
  <c r="H506" i="5"/>
  <c r="H504" i="5"/>
  <c r="I506" i="5"/>
  <c r="I505" i="5"/>
  <c r="I504" i="5"/>
  <c r="H472" i="5"/>
  <c r="H471" i="5"/>
  <c r="I472" i="5"/>
  <c r="I471" i="5"/>
  <c r="H420" i="5"/>
  <c r="H419" i="5"/>
  <c r="H418" i="5"/>
  <c r="I420" i="5"/>
  <c r="I419" i="5"/>
  <c r="I418" i="5"/>
  <c r="H357" i="5"/>
  <c r="H356" i="5"/>
  <c r="I357" i="5"/>
  <c r="I356" i="5"/>
  <c r="H355" i="5"/>
  <c r="H354" i="5"/>
  <c r="H353" i="5"/>
  <c r="H352" i="5"/>
  <c r="I354" i="5"/>
  <c r="I353" i="5"/>
  <c r="I352" i="5"/>
  <c r="I355" i="5"/>
  <c r="H344" i="5"/>
  <c r="H343" i="5"/>
  <c r="H341" i="5"/>
  <c r="H342" i="5"/>
  <c r="I342" i="5"/>
  <c r="I341" i="5"/>
  <c r="H339" i="5"/>
  <c r="H338" i="5"/>
  <c r="H337" i="5"/>
  <c r="H336" i="5"/>
  <c r="I339" i="5"/>
  <c r="I338" i="5"/>
  <c r="I337" i="5"/>
  <c r="I336" i="5"/>
  <c r="H335" i="5"/>
  <c r="H334" i="5"/>
  <c r="I335" i="5"/>
  <c r="I334" i="5"/>
  <c r="H301" i="5"/>
  <c r="H300" i="5"/>
  <c r="H299" i="5"/>
  <c r="H298" i="5"/>
  <c r="I301" i="5"/>
  <c r="I300" i="5"/>
  <c r="I299" i="5"/>
  <c r="I298" i="5"/>
  <c r="H296" i="5"/>
  <c r="H297" i="5"/>
  <c r="H295" i="5"/>
  <c r="I297" i="5"/>
  <c r="I296" i="5"/>
  <c r="I295" i="5"/>
  <c r="H208" i="5"/>
  <c r="H207" i="5"/>
  <c r="H206" i="5"/>
  <c r="I208" i="5"/>
  <c r="I207" i="5"/>
  <c r="I206" i="5"/>
  <c r="H205" i="5"/>
  <c r="H204" i="5"/>
  <c r="I205" i="5"/>
  <c r="I204" i="5"/>
  <c r="H203" i="5"/>
  <c r="H202" i="5"/>
  <c r="H201" i="5"/>
  <c r="I203" i="5"/>
  <c r="I201" i="5"/>
  <c r="I202" i="5"/>
  <c r="H200" i="5"/>
  <c r="H199" i="5"/>
  <c r="H198" i="5"/>
  <c r="H197" i="5"/>
  <c r="I200" i="5"/>
  <c r="I199" i="5"/>
  <c r="I198" i="5"/>
  <c r="I197" i="5"/>
  <c r="H196" i="5"/>
  <c r="H195" i="5"/>
  <c r="H194" i="5"/>
  <c r="I196" i="5"/>
  <c r="I195" i="5"/>
  <c r="I194" i="5"/>
  <c r="H192" i="5"/>
  <c r="H191" i="5"/>
  <c r="H190" i="5"/>
  <c r="H189" i="5"/>
  <c r="I192" i="5"/>
  <c r="I191" i="5"/>
  <c r="I190" i="5"/>
  <c r="I189" i="5"/>
  <c r="H188" i="5"/>
  <c r="H187" i="5"/>
  <c r="H186" i="5"/>
  <c r="H185" i="5"/>
  <c r="I188" i="5"/>
  <c r="I187" i="5"/>
  <c r="I186" i="5"/>
  <c r="I185" i="5"/>
  <c r="H184" i="5"/>
  <c r="H183" i="5"/>
  <c r="H182" i="5"/>
  <c r="H181" i="5"/>
  <c r="I184" i="5"/>
  <c r="I183" i="5"/>
  <c r="I182" i="5"/>
  <c r="I181" i="5"/>
  <c r="H179" i="5"/>
  <c r="H180" i="5"/>
  <c r="I180" i="5"/>
  <c r="I179" i="5"/>
  <c r="I176" i="5"/>
  <c r="I175" i="5"/>
  <c r="H173" i="5"/>
  <c r="H174" i="5"/>
  <c r="H172" i="5"/>
  <c r="I174" i="5"/>
  <c r="I173" i="5"/>
  <c r="I172" i="5"/>
  <c r="H171" i="5"/>
  <c r="H170" i="5"/>
  <c r="I171" i="5"/>
  <c r="I170" i="5"/>
  <c r="H169" i="5"/>
  <c r="H168" i="5"/>
  <c r="H167" i="5"/>
  <c r="I169" i="5"/>
  <c r="I168" i="5"/>
  <c r="I167" i="5"/>
  <c r="H166" i="5"/>
  <c r="H165" i="5"/>
  <c r="I166" i="5"/>
  <c r="I165" i="5"/>
  <c r="H162" i="5"/>
  <c r="H164" i="5"/>
  <c r="H163" i="5"/>
  <c r="I164" i="5"/>
  <c r="I162" i="5"/>
  <c r="I163" i="5"/>
  <c r="H161" i="5"/>
  <c r="H160" i="5"/>
  <c r="H159" i="5"/>
  <c r="H158" i="5"/>
  <c r="I161" i="5"/>
  <c r="I160" i="5"/>
  <c r="I159" i="5"/>
  <c r="I158" i="5"/>
  <c r="H157" i="5"/>
  <c r="H156" i="5"/>
  <c r="H155" i="5"/>
  <c r="I157" i="5"/>
  <c r="I156" i="5"/>
  <c r="I155" i="5"/>
  <c r="H152" i="5"/>
  <c r="H154" i="5"/>
  <c r="H153" i="5"/>
  <c r="I154" i="5"/>
  <c r="I152" i="5"/>
  <c r="I153" i="5"/>
  <c r="H151" i="5"/>
  <c r="H150" i="5"/>
  <c r="H149" i="5"/>
  <c r="H148" i="5"/>
  <c r="I151" i="5"/>
  <c r="I150" i="5"/>
  <c r="I149" i="5"/>
  <c r="I148" i="5"/>
  <c r="H116" i="5"/>
  <c r="H115" i="5"/>
  <c r="H114" i="5"/>
  <c r="H113" i="5"/>
  <c r="H112" i="5"/>
  <c r="I114" i="5"/>
  <c r="I112" i="5"/>
  <c r="I113" i="5"/>
  <c r="H111" i="5"/>
  <c r="H110" i="5"/>
  <c r="H109" i="5"/>
  <c r="I111" i="5"/>
  <c r="I110" i="5"/>
  <c r="I109" i="5"/>
  <c r="I108" i="5"/>
  <c r="H24" i="5"/>
  <c r="H25" i="5"/>
  <c r="H23" i="5"/>
  <c r="I24" i="5"/>
  <c r="I23" i="5"/>
  <c r="I25" i="5"/>
  <c r="H22" i="5"/>
  <c r="H21" i="5"/>
  <c r="H20" i="5"/>
  <c r="H19" i="5"/>
  <c r="I22" i="5"/>
  <c r="I21" i="5"/>
  <c r="I20" i="5"/>
  <c r="I19" i="5"/>
  <c r="H18" i="5"/>
  <c r="H17" i="5"/>
  <c r="H16" i="5"/>
  <c r="H15" i="5"/>
  <c r="I18" i="5"/>
  <c r="I17" i="5"/>
  <c r="I16" i="5"/>
  <c r="I15" i="5"/>
  <c r="H13" i="5"/>
  <c r="H12" i="5"/>
  <c r="I13" i="5"/>
  <c r="I12" i="5"/>
  <c r="H11" i="5"/>
  <c r="H10" i="5"/>
  <c r="H9" i="5"/>
  <c r="I11" i="5"/>
  <c r="I10" i="5"/>
  <c r="I9" i="5"/>
  <c r="H8" i="5"/>
  <c r="H7" i="5"/>
  <c r="I8" i="5"/>
  <c r="I7" i="5"/>
  <c r="E47" i="1"/>
  <c r="C49" i="1"/>
  <c r="E48" i="1"/>
  <c r="E49" i="1"/>
  <c r="C48" i="1"/>
  <c r="D47" i="1"/>
  <c r="D46" i="1"/>
  <c r="D49" i="1"/>
  <c r="E45" i="1"/>
  <c r="E44" i="1"/>
  <c r="C50" i="1"/>
  <c r="E50" i="1"/>
  <c r="C46" i="1"/>
  <c r="D50" i="1"/>
  <c r="C47" i="1"/>
  <c r="C44" i="1"/>
  <c r="C45" i="1"/>
  <c r="D48" i="1"/>
  <c r="E51" i="1"/>
  <c r="D51" i="1"/>
  <c r="E46" i="1"/>
  <c r="C51" i="1"/>
  <c r="D45" i="1"/>
  <c r="D44" i="1"/>
  <c r="C28" i="1"/>
  <c r="C27" i="1"/>
  <c r="D27" i="1"/>
  <c r="E27" i="1" s="1"/>
  <c r="D29" i="1"/>
  <c r="D28" i="1"/>
  <c r="H407" i="5"/>
  <c r="H406" i="5"/>
  <c r="H405" i="5"/>
  <c r="H404" i="5"/>
  <c r="I407" i="5"/>
  <c r="I406" i="5"/>
  <c r="I405" i="5"/>
  <c r="I404" i="5"/>
  <c r="H403" i="5"/>
  <c r="H402" i="5"/>
  <c r="I403" i="5"/>
  <c r="I402" i="5"/>
  <c r="H401" i="5"/>
  <c r="H400" i="5"/>
  <c r="I401" i="5"/>
  <c r="I400" i="5"/>
  <c r="H399" i="5"/>
  <c r="H398" i="5"/>
  <c r="H397" i="5"/>
  <c r="I399" i="5"/>
  <c r="I398" i="5"/>
  <c r="I397" i="5"/>
  <c r="H395" i="5"/>
  <c r="H394" i="5"/>
  <c r="I395" i="5"/>
  <c r="I394" i="5"/>
  <c r="H391" i="5"/>
  <c r="H390" i="5"/>
  <c r="H393" i="5"/>
  <c r="H392" i="5"/>
  <c r="I392" i="5"/>
  <c r="I390" i="5"/>
  <c r="I393" i="5"/>
  <c r="I391" i="5"/>
  <c r="H386" i="5"/>
  <c r="H387" i="5"/>
  <c r="H388" i="5"/>
  <c r="H389" i="5"/>
  <c r="I386" i="5"/>
  <c r="I387" i="5"/>
  <c r="I388" i="5"/>
  <c r="I389" i="5"/>
  <c r="H384" i="5"/>
  <c r="H385" i="5"/>
  <c r="I385" i="5"/>
  <c r="I384" i="5"/>
  <c r="H349" i="5"/>
  <c r="H350" i="5"/>
  <c r="H351" i="5"/>
  <c r="H348" i="5"/>
  <c r="I351" i="5"/>
  <c r="I349" i="5"/>
  <c r="I350" i="5"/>
  <c r="I348" i="5"/>
  <c r="H345" i="5"/>
  <c r="H346" i="5"/>
  <c r="H347" i="5"/>
  <c r="I345" i="5"/>
  <c r="I347" i="5"/>
  <c r="I346" i="5"/>
  <c r="I344" i="5"/>
  <c r="I343" i="5"/>
  <c r="H293" i="5"/>
  <c r="H292" i="5"/>
  <c r="H291" i="5"/>
  <c r="I291" i="5"/>
  <c r="I293" i="5"/>
  <c r="I292" i="5"/>
  <c r="H289" i="5"/>
  <c r="H290" i="5"/>
  <c r="I290" i="5"/>
  <c r="I289" i="5"/>
  <c r="H287" i="5"/>
  <c r="H288" i="5"/>
  <c r="I287" i="5"/>
  <c r="I288" i="5"/>
  <c r="H286" i="5"/>
  <c r="H285" i="5"/>
  <c r="I285" i="5"/>
  <c r="I286" i="5"/>
  <c r="H282" i="5"/>
  <c r="H283" i="5"/>
  <c r="H284" i="5"/>
  <c r="I282" i="5"/>
  <c r="I283" i="5"/>
  <c r="I284" i="5"/>
  <c r="H281" i="5"/>
  <c r="H280" i="5"/>
  <c r="I280" i="5"/>
  <c r="I281" i="5"/>
  <c r="H276" i="5"/>
  <c r="H279" i="5"/>
  <c r="H277" i="5"/>
  <c r="H278" i="5"/>
  <c r="I279" i="5"/>
  <c r="I278" i="5"/>
  <c r="I277" i="5"/>
  <c r="I276" i="5"/>
  <c r="H275" i="5"/>
  <c r="H274" i="5"/>
  <c r="I275" i="5"/>
  <c r="I274" i="5"/>
  <c r="H270" i="5"/>
  <c r="H273" i="5"/>
  <c r="H272" i="5"/>
  <c r="H271" i="5"/>
  <c r="I272" i="5"/>
  <c r="I273" i="5"/>
  <c r="I270" i="5"/>
  <c r="I271" i="5"/>
  <c r="H268" i="5"/>
  <c r="H269" i="5"/>
  <c r="I268" i="5"/>
  <c r="I269" i="5"/>
  <c r="H264" i="5"/>
  <c r="H265" i="5"/>
  <c r="H266" i="5"/>
  <c r="H267" i="5"/>
  <c r="I267" i="5"/>
  <c r="I264" i="5"/>
  <c r="I266" i="5"/>
  <c r="I265" i="5"/>
  <c r="H263" i="5"/>
  <c r="H262" i="5"/>
  <c r="H261" i="5"/>
  <c r="I263" i="5"/>
  <c r="I262" i="5"/>
  <c r="I261" i="5"/>
  <c r="H258" i="5"/>
  <c r="H260" i="5"/>
  <c r="H259" i="5"/>
  <c r="I259" i="5"/>
  <c r="I260" i="5"/>
  <c r="I258" i="5"/>
  <c r="H257" i="5"/>
  <c r="H256" i="5"/>
  <c r="I256" i="5"/>
  <c r="I257" i="5"/>
  <c r="H253" i="5"/>
  <c r="H254" i="5"/>
  <c r="H255" i="5"/>
  <c r="I255" i="5"/>
  <c r="I253" i="5"/>
  <c r="I254" i="5"/>
  <c r="H234" i="5"/>
  <c r="H233" i="5"/>
  <c r="I234" i="5"/>
  <c r="I233" i="5"/>
  <c r="H232" i="5"/>
  <c r="H231" i="5"/>
  <c r="H230" i="5"/>
  <c r="I232" i="5"/>
  <c r="I230" i="5"/>
  <c r="I231" i="5"/>
  <c r="H229" i="5"/>
  <c r="H228" i="5"/>
  <c r="I229" i="5"/>
  <c r="I228" i="5"/>
  <c r="H227" i="5"/>
  <c r="H226" i="5"/>
  <c r="H225" i="5"/>
  <c r="H224" i="5"/>
  <c r="I227" i="5"/>
  <c r="I226" i="5"/>
  <c r="I225" i="5"/>
  <c r="I224" i="5"/>
  <c r="H223" i="5"/>
  <c r="H222" i="5"/>
  <c r="I223" i="5"/>
  <c r="I222" i="5"/>
  <c r="H220" i="5"/>
  <c r="H221" i="5"/>
  <c r="I221" i="5"/>
  <c r="I220" i="5"/>
  <c r="H217" i="5"/>
  <c r="H218" i="5"/>
  <c r="H219" i="5"/>
  <c r="I217" i="5"/>
  <c r="I218" i="5"/>
  <c r="I219" i="5"/>
  <c r="H216" i="5"/>
  <c r="H215" i="5"/>
  <c r="I215" i="5"/>
  <c r="I216" i="5"/>
  <c r="H214" i="5"/>
  <c r="H213" i="5"/>
  <c r="H212" i="5"/>
  <c r="I214" i="5"/>
  <c r="I213" i="5"/>
  <c r="I212" i="5"/>
  <c r="H210" i="5"/>
  <c r="H211" i="5"/>
  <c r="I211" i="5"/>
  <c r="I209" i="5"/>
  <c r="I210" i="5"/>
  <c r="H178" i="5"/>
  <c r="H177" i="5"/>
  <c r="I178" i="5"/>
  <c r="I177" i="5"/>
  <c r="H176" i="5"/>
  <c r="H175" i="5"/>
  <c r="H120" i="5"/>
  <c r="H121" i="5"/>
  <c r="I121" i="5"/>
  <c r="I120" i="5"/>
  <c r="H119" i="5"/>
  <c r="H118" i="5"/>
  <c r="H117" i="5"/>
  <c r="I119" i="5"/>
  <c r="I118" i="5"/>
  <c r="I117" i="5"/>
  <c r="I116" i="5"/>
  <c r="I115" i="5"/>
  <c r="H63" i="5"/>
  <c r="H62" i="5"/>
  <c r="I62" i="5"/>
  <c r="I63" i="5"/>
  <c r="H60" i="5"/>
  <c r="H59" i="5"/>
  <c r="H58" i="5"/>
  <c r="H61" i="5"/>
  <c r="I59" i="5"/>
  <c r="I58" i="5"/>
  <c r="I61" i="5"/>
  <c r="I60" i="5"/>
  <c r="H56" i="5"/>
  <c r="H55" i="5"/>
  <c r="I56" i="5"/>
  <c r="I55" i="5"/>
  <c r="H53" i="5"/>
  <c r="H54" i="5"/>
  <c r="I53" i="5"/>
  <c r="I54" i="5"/>
  <c r="H51" i="5"/>
  <c r="H52" i="5"/>
  <c r="I51" i="5"/>
  <c r="I52" i="5"/>
  <c r="H49" i="5"/>
  <c r="H50" i="5"/>
  <c r="I49" i="5"/>
  <c r="I50" i="5"/>
  <c r="H47" i="5"/>
  <c r="H48" i="5"/>
  <c r="H46" i="5"/>
  <c r="H45" i="5"/>
  <c r="I47" i="5"/>
  <c r="I46" i="5"/>
  <c r="I48" i="5"/>
  <c r="I45" i="5"/>
  <c r="H44" i="5"/>
  <c r="H43" i="5"/>
  <c r="I43" i="5"/>
  <c r="I44" i="5"/>
  <c r="H42" i="5"/>
  <c r="H39" i="5"/>
  <c r="H41" i="5"/>
  <c r="H40" i="5"/>
  <c r="I42" i="5"/>
  <c r="I40" i="5"/>
  <c r="I39" i="5"/>
  <c r="I41" i="5"/>
  <c r="H36" i="5"/>
  <c r="H37" i="5"/>
  <c r="I36" i="5"/>
  <c r="I37" i="5"/>
  <c r="H32" i="5"/>
  <c r="H33" i="5"/>
  <c r="H34" i="5"/>
  <c r="H35" i="5"/>
  <c r="I33" i="5"/>
  <c r="I32" i="5"/>
  <c r="I34" i="5"/>
  <c r="I35" i="5"/>
  <c r="H30" i="5"/>
  <c r="H31" i="5"/>
  <c r="I30" i="5"/>
  <c r="I31" i="5"/>
  <c r="H27" i="5"/>
  <c r="H28" i="5"/>
  <c r="H29" i="5"/>
  <c r="I27" i="5"/>
  <c r="I28" i="5"/>
  <c r="I29" i="5"/>
  <c r="H5" i="5"/>
  <c r="H4" i="5"/>
  <c r="H6" i="5"/>
  <c r="I4" i="5"/>
  <c r="I6" i="5"/>
  <c r="I5" i="5"/>
  <c r="D80" i="1"/>
  <c r="D81" i="1"/>
  <c r="C81" i="1"/>
  <c r="D78" i="1"/>
  <c r="C80" i="1"/>
  <c r="C78" i="1"/>
  <c r="D79" i="1"/>
  <c r="C79" i="1"/>
  <c r="E28" i="1" l="1"/>
  <c r="E29" i="1"/>
</calcChain>
</file>

<file path=xl/sharedStrings.xml><?xml version="1.0" encoding="utf-8"?>
<sst xmlns="http://schemas.openxmlformats.org/spreadsheetml/2006/main" count="595" uniqueCount="199">
  <si>
    <t>E-Commerce Sales Dashboard</t>
  </si>
  <si>
    <t>Orders from Mar 2023 to Feb 2024  ·  all figures are live formulas over the Customers, Products, Orders and OrderDetails sheets</t>
  </si>
  <si>
    <t>Total Revenue</t>
  </si>
  <si>
    <t>Total Orders</t>
  </si>
  <si>
    <t>Avg Order Value</t>
  </si>
  <si>
    <t>Total Customers</t>
  </si>
  <si>
    <t>Buying Customers</t>
  </si>
  <si>
    <t>Repeat Rate</t>
  </si>
  <si>
    <t>Monthly sales trend</t>
  </si>
  <si>
    <t>Month</t>
  </si>
  <si>
    <t>Month key</t>
  </si>
  <si>
    <t>Orders</t>
  </si>
  <si>
    <t>Sales</t>
  </si>
  <si>
    <t>MoM change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</si>
  <si>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</si>
  <si>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</si>
  <si>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</si>
  <si>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</si>
  <si>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</si>
  <si>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</si>
  <si>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</si>
  <si>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</si>
  <si>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</si>
  <si>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</si>
  <si>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</si>
  <si>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</si>
  <si>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Total</t>
  </si>
  <si>
    <t>Revenue by category</t>
  </si>
  <si>
    <t>Category</t>
  </si>
  <si>
    <t>Units sold</t>
  </si>
  <si>
    <t>Revenue</t>
  </si>
  <si>
    <t>Share</t>
  </si>
  <si>
    <t>Electronics</t>
  </si>
  <si>
    <t>Photography</t>
  </si>
  <si>
    <t>Wearable Tech</t>
  </si>
  <si>
    <t>Revenue by product</t>
  </si>
  <si>
    <t>Product</t>
  </si>
  <si>
    <t>Order lines</t>
  </si>
  <si>
    <t>Laptop 15" Pro</t>
  </si>
  <si>
    <t>Digital SLR Camera</t>
  </si>
  <si>
    <t>Smartphone 6"</t>
  </si>
  <si>
    <t>E-Book Reader</t>
  </si>
  <si>
    <t>Bluetooth Headphones</t>
  </si>
  <si>
    <t>Portable Bluetooth Speaker</t>
  </si>
  <si>
    <t>Smartwatch Fitness Tracker</t>
  </si>
  <si>
    <t>Wireless Earbuds</t>
  </si>
  <si>
    <t>Revenue by city</t>
  </si>
  <si>
    <t>City</t>
  </si>
  <si>
    <t>Customers</t>
  </si>
  <si>
    <t>Chennai</t>
  </si>
  <si>
    <t>Lucknow</t>
  </si>
  <si>
    <t>Jaipur</t>
  </si>
  <si>
    <t>Delhi</t>
  </si>
  <si>
    <t>Kolkata</t>
  </si>
  <si>
    <t>Bangalore</t>
  </si>
  <si>
    <t>Ahmedabad</t>
  </si>
  <si>
    <t>Hyderabad</t>
  </si>
  <si>
    <t>Pune</t>
  </si>
  <si>
    <t>Mumbai</t>
  </si>
  <si>
    <t>Customer segments by number of orders</t>
  </si>
  <si>
    <t>Segment</t>
  </si>
  <si>
    <t>Rule</t>
  </si>
  <si>
    <t>Never ordered</t>
  </si>
  <si>
    <t>One-time buyer</t>
  </si>
  <si>
    <t>Occasional shopper</t>
  </si>
  <si>
    <t>Regular customer</t>
  </si>
  <si>
    <t>RFM segments (from SQL view vw_customer_rfm)</t>
  </si>
  <si>
    <t>RFM segment</t>
  </si>
  <si>
    <t>Revenue share</t>
  </si>
  <si>
    <t>Champions</t>
  </si>
  <si>
    <t>Loyal / Potential</t>
  </si>
  <si>
    <t>Needs Attention</t>
  </si>
  <si>
    <t>At Risk</t>
  </si>
  <si>
    <t>Lost</t>
  </si>
  <si>
    <t>customer_id</t>
  </si>
  <si>
    <t>name</t>
  </si>
  <si>
    <t>location</t>
  </si>
  <si>
    <t>total_orders</t>
  </si>
  <si>
    <t>total_spent</t>
  </si>
  <si>
    <t>segment</t>
  </si>
  <si>
    <t>Ivana Chander</t>
  </si>
  <si>
    <t>Charvi Kibe</t>
  </si>
  <si>
    <t>Divij Chaudry</t>
  </si>
  <si>
    <t>Charvi Balay</t>
  </si>
  <si>
    <t>Diya Arya</t>
  </si>
  <si>
    <t>Dhruv Cherian</t>
  </si>
  <si>
    <t>Myra Dubey</t>
  </si>
  <si>
    <t>Advika Wable</t>
  </si>
  <si>
    <t>Aarna Samra</t>
  </si>
  <si>
    <t>Ahana  Ray</t>
  </si>
  <si>
    <t>Tanya Baria</t>
  </si>
  <si>
    <t>Kismat Sangha</t>
  </si>
  <si>
    <t>Lakshit Walia</t>
  </si>
  <si>
    <t>Jayant Yohannan</t>
  </si>
  <si>
    <t>Jivika Tiwari</t>
  </si>
  <si>
    <t>Adira Bhargava</t>
  </si>
  <si>
    <t>Rhea Issac</t>
  </si>
  <si>
    <t>Rasha Sarna</t>
  </si>
  <si>
    <t>Sahil Chaudhary</t>
  </si>
  <si>
    <t>Shamik Mannan</t>
  </si>
  <si>
    <t>Rati Jayaraman</t>
  </si>
  <si>
    <t>Hiran Deo</t>
  </si>
  <si>
    <t>Shayak Chokshi</t>
  </si>
  <si>
    <t>Samar Sharaf</t>
  </si>
  <si>
    <t>Miraya Bora</t>
  </si>
  <si>
    <t>Anvi Atwal</t>
  </si>
  <si>
    <t>Ahana  Divan</t>
  </si>
  <si>
    <t>Emir Brahmbhatt</t>
  </si>
  <si>
    <t>Kaira Guha</t>
  </si>
  <si>
    <t>Hridaan Lala</t>
  </si>
  <si>
    <t>Hiran Mandal</t>
  </si>
  <si>
    <t>Romil Bora</t>
  </si>
  <si>
    <t>Jayan Bhatti</t>
  </si>
  <si>
    <t>Ishaan Walia</t>
  </si>
  <si>
    <t>Miraya Mand</t>
  </si>
  <si>
    <t>Ivana Acharya</t>
  </si>
  <si>
    <t>Jayesh Butala</t>
  </si>
  <si>
    <t>Saksham Barman</t>
  </si>
  <si>
    <t>Piya Cheema</t>
  </si>
  <si>
    <t>Diya Mallick</t>
  </si>
  <si>
    <t>Ehsaan Chand</t>
  </si>
  <si>
    <t>Shlok Dhingra</t>
  </si>
  <si>
    <t>Kavya Tak</t>
  </si>
  <si>
    <t>Vritika Baral</t>
  </si>
  <si>
    <t>Hunar Rout</t>
  </si>
  <si>
    <t>Kismat Bajwa</t>
  </si>
  <si>
    <t>Adah Dara</t>
  </si>
  <si>
    <t>Reyansh Golla</t>
  </si>
  <si>
    <t>Yuvaan Krishnan</t>
  </si>
  <si>
    <t>Pari Korpal</t>
  </si>
  <si>
    <t>Indrans Lanka</t>
  </si>
  <si>
    <t>Khushi Goswami</t>
  </si>
  <si>
    <t>Himmat Dhillon</t>
  </si>
  <si>
    <t>Hazel Trivedi</t>
  </si>
  <si>
    <t>Fateh Doshi</t>
  </si>
  <si>
    <t>Dhanush Banerjee</t>
  </si>
  <si>
    <t>Diya Upadhyay</t>
  </si>
  <si>
    <t>Shanaya Chakrabarti</t>
  </si>
  <si>
    <t>Yasmin Mallick</t>
  </si>
  <si>
    <t>Ranbir Dewan</t>
  </si>
  <si>
    <t>Saksham Buch</t>
  </si>
  <si>
    <t>Himmat Mani</t>
  </si>
  <si>
    <t>Kiaan Tiwari</t>
  </si>
  <si>
    <t>Jayan Loke</t>
  </si>
  <si>
    <t>Shanaya Desai</t>
  </si>
  <si>
    <t>Ahana  Korpal</t>
  </si>
  <si>
    <t>Renee Korpal</t>
  </si>
  <si>
    <t>Ayesha Wali</t>
  </si>
  <si>
    <t>Miraan Koshy</t>
  </si>
  <si>
    <t>Dhruv Rajagopal</t>
  </si>
  <si>
    <t>Nirvi Agate</t>
  </si>
  <si>
    <t>Ela Kade</t>
  </si>
  <si>
    <t>Prisha Tara</t>
  </si>
  <si>
    <t>Indrajit Dugar</t>
  </si>
  <si>
    <t>Ryan Ahluwalia</t>
  </si>
  <si>
    <t>Rania Chokshi</t>
  </si>
  <si>
    <t>Kabir Sundaram</t>
  </si>
  <si>
    <t>Yuvraj  Bir</t>
  </si>
  <si>
    <t>Shamik Ben</t>
  </si>
  <si>
    <t>Anika Wali</t>
  </si>
  <si>
    <t>Akarsh Loyal</t>
  </si>
  <si>
    <t>Gatik Chakrabarti</t>
  </si>
  <si>
    <t>Ira Madan</t>
  </si>
  <si>
    <t>Gokul Chhabra</t>
  </si>
  <si>
    <t>Aarna Kurian</t>
  </si>
  <si>
    <t>Advika Wali</t>
  </si>
  <si>
    <t>Jayesh Gill</t>
  </si>
  <si>
    <t>Sumer Dora</t>
  </si>
  <si>
    <t>Adah Yogi</t>
  </si>
  <si>
    <t>Anika Kaul</t>
  </si>
  <si>
    <t>Riya Sagar</t>
  </si>
  <si>
    <t>Nitya Viswanathan</t>
  </si>
  <si>
    <t>Yuvaan Dhar</t>
  </si>
  <si>
    <t>Yakshit Mangal</t>
  </si>
  <si>
    <t>Kartik Bhakta</t>
  </si>
  <si>
    <t>Veer Vaidya</t>
  </si>
  <si>
    <t>Saanvi Sani</t>
  </si>
  <si>
    <t>Aniruddh Arya</t>
  </si>
  <si>
    <t>Jayant Kade</t>
  </si>
  <si>
    <t>Kimaya Sur</t>
  </si>
  <si>
    <t>product_id</t>
  </si>
  <si>
    <t>category</t>
  </si>
  <si>
    <t>price</t>
  </si>
  <si>
    <t>order_id</t>
  </si>
  <si>
    <t>order_date</t>
  </si>
  <si>
    <t>total_amount</t>
  </si>
  <si>
    <t>month_key</t>
  </si>
  <si>
    <t>quantity</t>
  </si>
  <si>
    <t>price_per_unit</t>
  </si>
  <si>
    <t>line_amount</t>
  </si>
  <si>
    <t>product_name</t>
  </si>
  <si>
    <t>recency_days</t>
  </si>
  <si>
    <t>frequency</t>
  </si>
  <si>
    <t>monetary</t>
  </si>
  <si>
    <t>r_score</t>
  </si>
  <si>
    <t>f_score</t>
  </si>
  <si>
    <t>m_score</t>
  </si>
  <si>
    <t>rfm_segment</t>
  </si>
  <si>
    <t>Source: values from SQL view vw_customer_rfm (sql/03_advanced_sql.sql), scores 1-4 via NTILE(4).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</si>
</sst>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"/>
    <numFmt numFmtId="165" formatCode="yyyy\-mm\-dd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1"/>
      <color rgb="FF52514E"/>
      <name val="Arial"/>
    </font>
    <font>
      <b/>
      <sz val="20"/>
      <color rgb="FF184F95"/>
      <name val="Arial"/>
    </font>
    <font>
      <b/>
      <sz val="9"/>
      <color rgb="FFFFFFFF"/>
      <name val="Arial"/>
    </font>
    <font>
      <b/>
      <sz val="16"/>
      <color rgb="FF184F95"/>
      <name val="Arial"/>
    </font>
    <font>
      <b/>
      <sz val="13"/>
      <color rgb="FF184F95"/>
      <name val="Arial"/>
    </font>
    <font>
      <sz val="11"/>
      <color rgb="FF52514E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84F95"/>
      </patternFill>
    </fill>
    <fill>
      <patternFill patternType="solid">
        <fgColor rgb="FF2A78D6"/>
      </patternFill>
    </fill>
    <fill>
      <patternFill patternType="solid">
        <fgColor rgb="FFEAF2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/>
    <xf numFmtId="0" fontId="3" fillId="0" borderId="0" xfId="0" applyFont="1"/>
    <xf numFmtId="0" fontId="5" fillId="3" borderId="0" xfId="0" applyFont="1" applyFill="1" applyAlignment="1">
      <alignment horizontal="center"/>
    </xf>
    <xf numFmtId="164" fontId="6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8" fillId="0" borderId="1" xfId="0" applyFont="1" applyBorder="1"/>
    <xf numFmtId="164" fontId="2" fillId="0" borderId="1" xfId="0" applyNumberFormat="1" applyFont="1" applyBorder="1"/>
    <xf numFmtId="166" fontId="2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3" fontId="2" fillId="0" borderId="1" xfId="0" applyNumberFormat="1" applyFont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(₹)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Dashboard!$B$10:$B$21</c:f>
              <c:strCache>
                <c:ptCount val="12"/>
                <c:pt idx="0">
                  <c:v>2023-03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</c:strCache>
            </c:strRef>
          </c:cat>
          <c:val>
            <c:numRef>
              <c:f>Dashboard!$E$10:$E$21</c:f>
              <c:numCache>
                <c:formatCode>"₹"#,##0</c:formatCode>
                <c:ptCount val="12"/>
                <c:pt idx="0">
                  <c:v>789000</c:v>
                </c:pt>
                <c:pt idx="1">
                  <c:v>1704000</c:v>
                </c:pt>
                <c:pt idx="2">
                  <c:v>1582000</c:v>
                </c:pt>
                <c:pt idx="3">
                  <c:v>1040000</c:v>
                </c:pt>
                <c:pt idx="4">
                  <c:v>2568000</c:v>
                </c:pt>
                <c:pt idx="5">
                  <c:v>1800000</c:v>
                </c:pt>
                <c:pt idx="6">
                  <c:v>2927000</c:v>
                </c:pt>
                <c:pt idx="7">
                  <c:v>1497000</c:v>
                </c:pt>
                <c:pt idx="8">
                  <c:v>1151000</c:v>
                </c:pt>
                <c:pt idx="9">
                  <c:v>2774000</c:v>
                </c:pt>
                <c:pt idx="10">
                  <c:v>1555000</c:v>
                </c:pt>
                <c:pt idx="11">
                  <c:v>396000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F-43B4-A54B-3E37B6CE3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category (₹)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Dashboard!$D$26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Dashboard!$B$27:$B$29</c:f>
              <c:strCache>
                <c:ptCount val="3"/>
                <c:pt idx="0">
                  <c:v>Electronics</c:v>
                </c:pt>
                <c:pt idx="1">
                  <c:v>Photography</c:v>
                </c:pt>
                <c:pt idx="2">
                  <c:v>Wearable Tech</c:v>
                </c:pt>
              </c:strCache>
            </c:strRef>
          </c:cat>
          <c:val>
            <c:numRef>
              <c:f>Dashboard!$D$27:$D$29</c:f>
              <c:numCache>
                <c:formatCode>"₹"#,##0</c:formatCode>
                <c:ptCount val="3"/>
                <c:pt idx="0">
                  <c:v>12758000</c:v>
                </c:pt>
                <c:pt idx="1">
                  <c:v>6040000</c:v>
                </c:pt>
                <c:pt idx="2">
                  <c:v>985000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28-490F-A61A-7CD0DC2076D8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&quot;₹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 (₹)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Dashboard!$D$43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Dashboard!$B$44:$B$51</c:f>
              <c:strCache>
                <c:ptCount val="8"/>
                <c:pt idx="0">
                  <c:v>Laptop 15" Pro</c:v>
                </c:pt>
                <c:pt idx="1">
                  <c:v>Digital SLR Camera</c:v>
                </c:pt>
                <c:pt idx="2">
                  <c:v>Smartphone 6"</c:v>
                </c:pt>
                <c:pt idx="3">
                  <c:v>E-Book Reader</c:v>
                </c:pt>
                <c:pt idx="4">
                  <c:v>Bluetooth Headphones</c:v>
                </c:pt>
                <c:pt idx="5">
                  <c:v>Portable Bluetooth Speaker</c:v>
                </c:pt>
                <c:pt idx="6">
                  <c:v>Smartwatch Fitness Tracker</c:v>
                </c:pt>
                <c:pt idx="7">
                  <c:v>Wireless Earbuds</c:v>
                </c:pt>
              </c:strCache>
            </c:strRef>
          </c:cat>
          <c:val>
            <c:numRef>
              <c:f>Dashboard!$D$44:$D$51</c:f>
              <c:numCache>
                <c:formatCode>"₹"#,##0</c:formatCode>
                <c:ptCount val="8"/>
                <c:pt idx="0">
                  <c:v>7560000</c:v>
                </c:pt>
                <c:pt idx="1">
                  <c:v>6040000</c:v>
                </c:pt>
                <c:pt idx="2">
                  <c:v>1620000</c:v>
                </c:pt>
                <c:pt idx="3">
                  <c:v>1560000</c:v>
                </c:pt>
                <c:pt idx="4">
                  <c:v>1080000</c:v>
                </c:pt>
                <c:pt idx="5">
                  <c:v>938000</c:v>
                </c:pt>
                <c:pt idx="6">
                  <c:v>595000</c:v>
                </c:pt>
                <c:pt idx="7">
                  <c:v>390000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184-491B-BD43-9D5F8435C1BF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&quot;₹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city (₹)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Dashboard!$E$60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Dashboard!$B$61:$B$70</c:f>
              <c:strCache>
                <c:ptCount val="10"/>
                <c:pt idx="0">
                  <c:v>Chennai</c:v>
                </c:pt>
                <c:pt idx="1">
                  <c:v>Lucknow</c:v>
                </c:pt>
                <c:pt idx="2">
                  <c:v>Jaipur</c:v>
                </c:pt>
                <c:pt idx="3">
                  <c:v>Delhi</c:v>
                </c:pt>
                <c:pt idx="4">
                  <c:v>Kolkata</c:v>
                </c:pt>
                <c:pt idx="5">
                  <c:v>Bangalore</c:v>
                </c:pt>
                <c:pt idx="6">
                  <c:v>Ahmedabad</c:v>
                </c:pt>
                <c:pt idx="7">
                  <c:v>Hyderabad</c:v>
                </c:pt>
                <c:pt idx="8">
                  <c:v>Pune</c:v>
                </c:pt>
                <c:pt idx="9">
                  <c:v>Mumbai</c:v>
                </c:pt>
              </c:strCache>
            </c:strRef>
          </c:cat>
          <c:val>
            <c:numRef>
              <c:f>Dashboard!$E$61:$E$70</c:f>
              <c:numCache>
                <c:formatCode>"₹"#,##0</c:formatCode>
                <c:ptCount val="10"/>
                <c:pt idx="0">
                  <c:v>3890000</c:v>
                </c:pt>
                <c:pt idx="1">
                  <c:v>2206000</c:v>
                </c:pt>
                <c:pt idx="2">
                  <c:v>2102000</c:v>
                </c:pt>
                <c:pt idx="3">
                  <c:v>2066000</c:v>
                </c:pt>
                <c:pt idx="4">
                  <c:v>1928000</c:v>
                </c:pt>
                <c:pt idx="5">
                  <c:v>1899000</c:v>
                </c:pt>
                <c:pt idx="6">
                  <c:v>1616000</c:v>
                </c:pt>
                <c:pt idx="7">
                  <c:v>1589000</c:v>
                </c:pt>
                <c:pt idx="8">
                  <c:v>1323000</c:v>
                </c:pt>
                <c:pt idx="9">
                  <c:v>1164000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63-44DE-B045-B025E026AD5F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&quot;₹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Customers per segment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Dashboard!$C$77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Dashboard!$B$78:$B$81</c:f>
              <c:strCache>
                <c:ptCount val="4"/>
                <c:pt idx="0">
                  <c:v>Never ordered</c:v>
                </c:pt>
                <c:pt idx="1">
                  <c:v>One-time buyer</c:v>
                </c:pt>
                <c:pt idx="2">
                  <c:v>Occasional shopper</c:v>
                </c:pt>
                <c:pt idx="3">
                  <c:v>Regular customer</c:v>
                </c:pt>
              </c:strCache>
            </c:strRef>
          </c:cat>
          <c:val>
            <c:numRef>
              <c:f>Dashboard!$C$78:$C$81</c:f>
              <c:numCache>
                <c:formatCode>#,##0</c:formatCode>
                <c:ptCount val="4"/>
                <c:pt idx="0">
                  <c:v>16</c:v>
                </c:pt>
                <c:pt idx="1">
                  <c:v>26</c:v>
                </c:pt>
                <c:pt idx="2">
                  <c:v>50</c:v>
                </c:pt>
                <c:pt idx="3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B683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E6-4121-8649-DE28C0D54852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RFM segment (₹)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Dashboard!$D$94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Dashboard!$B$95:$B$99</c:f>
              <c:strCache>
                <c:ptCount val="5"/>
                <c:pt idx="0">
                  <c:v>Champions</c:v>
                </c:pt>
                <c:pt idx="1">
                  <c:v>Loyal / Potential</c:v>
                </c:pt>
                <c:pt idx="2">
                  <c:v>Needs Attention</c:v>
                </c:pt>
                <c:pt idx="3">
                  <c:v>At Risk</c:v>
                </c:pt>
                <c:pt idx="4">
                  <c:v>Lost</c:v>
                </c:pt>
              </c:strCache>
            </c:strRef>
          </c:cat>
          <c:val>
            <c:numRef>
              <c:f>Dashboard!$D$95:$D$99</c:f>
              <c:numCache>
                <c:formatCode>"₹"#,##0</c:formatCode>
                <c:ptCount val="5"/>
                <c:pt idx="0">
                  <c:v>10440000</c:v>
                </c:pt>
                <c:pt idx="1">
                  <c:v>1441000</c:v>
                </c:pt>
                <c:pt idx="2">
                  <c:v>3421000</c:v>
                </c:pt>
                <c:pt idx="3">
                  <c:v>2717000</c:v>
                </c:pt>
                <c:pt idx="4">
                  <c:v>1764000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AD-4D0F-A192-B9BEA6621DEF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&quot;₹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576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24</xdr:row>
      <xdr:rowOff>0</xdr:rowOff>
    </xdr:from>
    <xdr:ext cx="576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41</xdr:row>
      <xdr:rowOff>0</xdr:rowOff>
    </xdr:from>
    <xdr:ext cx="576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58</xdr:row>
      <xdr:rowOff>0</xdr:rowOff>
    </xdr:from>
    <xdr:ext cx="576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0</xdr:colOff>
      <xdr:row>75</xdr:row>
      <xdr:rowOff>0</xdr:rowOff>
    </xdr:from>
    <xdr:ext cx="5760000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92</xdr:row>
      <xdr:rowOff>0</xdr:rowOff>
    </xdr:from>
    <xdr:ext cx="5760000" cy="2592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"/>
  <sheetViews>
    <sheetView showGridLines="0" tabSelected="1" workbookViewId="0"/>
  </sheetViews>
  <sheetFormatPr defaultRowHeight="14.4" x14ac:dyDescent="0.3"/>
  <cols>
    <col min="1" max="1" width="2" customWidth="1"/>
    <col min="2" max="2" width="26" customWidth="1"/>
    <col min="3" max="7" width="15" customWidth="1"/>
  </cols>
  <sheetData>
    <row r="1" spans="2:7" ht="24.6" x14ac:dyDescent="0.4">
      <c r="B1" s="1" t="s">
        <v>0</v>
      </c>
    </row>
    <row r="2" spans="2:7" x14ac:dyDescent="0.3">
      <c r="B2" s="2" t="s">
        <v>1</v>
      </c>
    </row>
    <row r="4" spans="2:7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2:7" ht="34.049999999999997" customHeight="1" x14ac:dyDescent="0.3">
      <c r="B5" s="4">
        <f>SUM(Orders!$D$2:$D$201)</f>
        <v>19783000</v>
      </c>
      <c r="C5" s="5">
        <f>COUNT(Orders!$A$2:$A$201)</f>
        <v>200</v>
      </c>
      <c r="D5" s="4">
        <f>B5/C5</f>
        <v>98915</v>
      </c>
      <c r="E5" s="5">
        <f>COUNTA(Customers!$A$2:$A$101)</f>
        <v>100</v>
      </c>
      <c r="F5" s="5">
        <f>COUNTIF(Customers!$D$2:$D$101,"&gt;0")</f>
        <v>84</v>
      </c>
      <c r="G5" s="6">
        <f>COUNTIF(Customers!$D$2:$D$101,"&gt;1")/F5</f>
        <v>0.69047619047619047</v>
      </c>
    </row>
    <row r="8" spans="2:7" ht="16.8" x14ac:dyDescent="0.3">
      <c r="B8" s="7" t="s">
        <v>8</v>
      </c>
    </row>
    <row r="9" spans="2:7" x14ac:dyDescent="0.3"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</row>
    <row r="10" spans="2:7" x14ac:dyDescent="0.3">
      <c r="B10" s="9" t="s">
        <v>14</v>
      </c>
      <c r="C10" s="10">
        <v>202303</v>
      </c>
      <c r="D10" s="9">
        <f>COUNTIF(Orders!$F$2:$F$201,C10)</f>
        <v>13</v>
      </c>
      <c r="E10" s="11">
        <f>SUMIF(Orders!$F$2:$F$201,C10,Orders!$D$2:$D$201)</f>
        <v>789000</v>
      </c>
      <c r="F10" s="12"/>
    </row>
    <row r="11" spans="2:7" x14ac:dyDescent="0.3">
      <c r="B11" s="9" t="s">
        <v>15</v>
      </c>
      <c r="C11" s="10">
        <v>202304</v>
      </c>
      <c r="D11" s="9">
        <f>COUNTIF(Orders!$F$2:$F$201,C11)</f>
        <v>21</v>
      </c>
      <c r="E11" s="11">
        <f>SUMIF(Orders!$F$2:$F$201,C11,Orders!$D$2:$D$201)</f>
        <v>1704000</v>
      </c>
      <c r="F11" s="12">
        <f t="shared" ref="F11:F21" si="0">(E11-E10)/E10</f>
        <v>1.1596958174904943</v>
      </c>
    </row>
    <row r="12" spans="2:7" x14ac:dyDescent="0.3">
      <c r="B12" s="9" t="s">
        <v>16</v>
      </c>
      <c r="C12" s="10">
        <v>202305</v>
      </c>
      <c r="D12" s="9">
        <f>COUNTIF(Orders!$F$2:$F$201,C12)</f>
        <v>18</v>
      </c>
      <c r="E12" s="11">
        <f>SUMIF(Orders!$F$2:$F$201,C12,Orders!$D$2:$D$201)</f>
        <v>1582000</v>
      </c>
      <c r="F12" s="12">
        <f t="shared" si="0"/>
        <v>-7.1596244131455405E-2</v>
      </c>
    </row>
    <row r="13" spans="2:7" x14ac:dyDescent="0.3">
      <c r="B13" s="9" t="s">
        <v>17</v>
      </c>
      <c r="C13" s="10">
        <v>202306</v>
      </c>
      <c r="D13" s="9">
        <f>COUNTIF(Orders!$F$2:$F$201,C13)</f>
        <v>10</v>
      </c>
      <c r="E13" s="11">
        <f>SUMIF(Orders!$F$2:$F$201,C13,Orders!$D$2:$D$201)</f>
        <v>1040000</v>
      </c>
      <c r="F13" s="12">
        <f t="shared" si="0"/>
        <v>-0.34260429835651074</v>
      </c>
    </row>
    <row r="14" spans="2:7" x14ac:dyDescent="0.3">
      <c r="B14" s="9" t="s">
        <v>18</v>
      </c>
      <c r="C14" s="10">
        <v>202307</v>
      </c>
      <c r="D14" s="9">
        <f>COUNTIF(Orders!$F$2:$F$201,C14)</f>
        <v>26</v>
      </c>
      <c r="E14" s="11">
        <f>SUMIF(Orders!$F$2:$F$201,C14,Orders!$D$2:$D$201)</f>
        <v>2568000</v>
      </c>
      <c r="F14" s="12">
        <f t="shared" si="0"/>
        <v>1.4692307692307693</v>
      </c>
    </row>
    <row r="15" spans="2:7" x14ac:dyDescent="0.3">
      <c r="B15" s="9" t="s">
        <v>19</v>
      </c>
      <c r="C15" s="10">
        <v>202308</v>
      </c>
      <c r="D15" s="9">
        <f>COUNTIF(Orders!$F$2:$F$201,C15)</f>
        <v>16</v>
      </c>
      <c r="E15" s="11">
        <f>SUMIF(Orders!$F$2:$F$201,C15,Orders!$D$2:$D$201)</f>
        <v>1800000</v>
      </c>
      <c r="F15" s="12">
        <f t="shared" si="0"/>
        <v>-0.29906542056074764</v>
      </c>
    </row>
    <row r="16" spans="2:7" x14ac:dyDescent="0.3">
      <c r="B16" s="9" t="s">
        <v>20</v>
      </c>
      <c r="C16" s="10">
        <v>202309</v>
      </c>
      <c r="D16" s="9">
        <f>COUNTIF(Orders!$F$2:$F$201,C16)</f>
        <v>24</v>
      </c>
      <c r="E16" s="11">
        <f>SUMIF(Orders!$F$2:$F$201,C16,Orders!$D$2:$D$201)</f>
        <v>2927000</v>
      </c>
      <c r="F16" s="12">
        <f t="shared" si="0"/>
        <v>0.62611111111111106</v>
      </c>
    </row>
    <row r="17" spans="2:6" x14ac:dyDescent="0.3">
      <c r="B17" s="9" t="s">
        <v>21</v>
      </c>
      <c r="C17" s="10">
        <v>202310</v>
      </c>
      <c r="D17" s="9">
        <f>COUNTIF(Orders!$F$2:$F$201,C17)</f>
        <v>18</v>
      </c>
      <c r="E17" s="11">
        <f>SUMIF(Orders!$F$2:$F$201,C17,Orders!$D$2:$D$201)</f>
        <v>1497000</v>
      </c>
      <c r="F17" s="12">
        <f t="shared" si="0"/>
        <v>-0.4885548343013324</v>
      </c>
    </row>
    <row r="18" spans="2:6" x14ac:dyDescent="0.3">
      <c r="B18" s="9" t="s">
        <v>22</v>
      </c>
      <c r="C18" s="10">
        <v>202311</v>
      </c>
      <c r="D18" s="9">
        <f>COUNTIF(Orders!$F$2:$F$201,C18)</f>
        <v>12</v>
      </c>
      <c r="E18" s="11">
        <f>SUMIF(Orders!$F$2:$F$201,C18,Orders!$D$2:$D$201)</f>
        <v>1151000</v>
      </c>
      <c r="F18" s="12">
        <f t="shared" si="0"/>
        <v>-0.23112892451569805</v>
      </c>
    </row>
    <row r="19" spans="2:6" x14ac:dyDescent="0.3">
      <c r="B19" s="9" t="s">
        <v>23</v>
      </c>
      <c r="C19" s="10">
        <v>202312</v>
      </c>
      <c r="D19" s="9">
        <f>COUNTIF(Orders!$F$2:$F$201,C19)</f>
        <v>21</v>
      </c>
      <c r="E19" s="11">
        <f>SUMIF(Orders!$F$2:$F$201,C19,Orders!$D$2:$D$201)</f>
        <v>2774000</v>
      </c>
      <c r="F19" s="12">
        <f t="shared" si="0"/>
        <v>1.4100781928757602</v>
      </c>
    </row>
    <row r="20" spans="2:6" x14ac:dyDescent="0.3">
      <c r="B20" s="9" t="s">
        <v>24</v>
      </c>
      <c r="C20" s="10">
        <v>202401</v>
      </c>
      <c r="D20" s="9">
        <f>COUNTIF(Orders!$F$2:$F$201,C20)</f>
        <v>12</v>
      </c>
      <c r="E20" s="11">
        <f>SUMIF(Orders!$F$2:$F$201,C20,Orders!$D$2:$D$201)</f>
        <v>1555000</v>
      </c>
      <c r="F20" s="12">
        <f t="shared" si="0"/>
        <v>-0.43943763518385004</v>
      </c>
    </row>
    <row r="21" spans="2:6" x14ac:dyDescent="0.3">
      <c r="B21" s="9" t="s">
        <v>25</v>
      </c>
      <c r="C21" s="10">
        <v>202402</v>
      </c>
      <c r="D21" s="9">
        <f>COUNTIF(Orders!$F$2:$F$201,C21)</f>
        <v>9</v>
      </c>
      <c r="E21" s="11">
        <f>SUMIF(Orders!$F$2:$F$201,C21,Orders!$D$2:$D$201)</f>
        <v>396000</v>
      </c>
      <c r="F21" s="12">
        <f t="shared" si="0"/>
        <v>-0.74533762057877817</v>
      </c>
    </row>
    <row r="22" spans="2:6" x14ac:dyDescent="0.3">
      <c r="B22" s="13" t="s">
        <v>26</v>
      </c>
      <c r="D22" s="13">
        <f>SUM(D10:D21)</f>
        <v>200</v>
      </c>
      <c r="E22" s="14">
        <f>SUM(E10:E21)</f>
        <v>19783000</v>
      </c>
    </row>
    <row r="25" spans="2:6" ht="16.8" x14ac:dyDescent="0.3">
      <c r="B25" s="7" t="s">
        <v>27</v>
      </c>
    </row>
    <row r="26" spans="2:6" x14ac:dyDescent="0.3">
      <c r="B26" s="8" t="s">
        <v>28</v>
      </c>
      <c r="C26" s="8" t="s">
        <v>29</v>
      </c>
      <c r="D26" s="8" t="s">
        <v>30</v>
      </c>
      <c r="E26" s="8" t="s">
        <v>31</v>
      </c>
    </row>
    <row r="27" spans="2:6" x14ac:dyDescent="0.3">
      <c r="B27" s="9" t="s">
        <v>32</v>
      </c>
      <c r="C27" s="15">
        <f>SUMIF(OrderDetails!$G$2:$G$520,B27,OrderDetails!$C$2:$C$520)</f>
        <v>633</v>
      </c>
      <c r="D27" s="11">
        <f>SUMIF(OrderDetails!$G$2:$G$520,B27,OrderDetails!$E$2:$E$520)</f>
        <v>12758000</v>
      </c>
      <c r="E27" s="12">
        <f>D27/SUM($D$27:$D$29)</f>
        <v>0.64489713390284586</v>
      </c>
    </row>
    <row r="28" spans="2:6" x14ac:dyDescent="0.3">
      <c r="B28" s="9" t="s">
        <v>33</v>
      </c>
      <c r="C28" s="15">
        <f>SUMIF(OrderDetails!$G$2:$G$520,B28,OrderDetails!$C$2:$C$520)</f>
        <v>151</v>
      </c>
      <c r="D28" s="11">
        <f>SUMIF(OrderDetails!$G$2:$G$520,B28,OrderDetails!$E$2:$E$520)</f>
        <v>6040000</v>
      </c>
      <c r="E28" s="12">
        <f>D28/SUM($D$27:$D$29)</f>
        <v>0.30531264216751758</v>
      </c>
    </row>
    <row r="29" spans="2:6" x14ac:dyDescent="0.3">
      <c r="B29" s="9" t="s">
        <v>34</v>
      </c>
      <c r="C29" s="15">
        <f>SUMIF(OrderDetails!$G$2:$G$520,B29,OrderDetails!$C$2:$C$520)</f>
        <v>249</v>
      </c>
      <c r="D29" s="11">
        <f>SUMIF(OrderDetails!$G$2:$G$520,B29,OrderDetails!$E$2:$E$520)</f>
        <v>985000</v>
      </c>
      <c r="E29" s="12">
        <f>D29/SUM($D$27:$D$29)</f>
        <v>4.9790223929636557E-2</v>
      </c>
    </row>
    <row r="42" spans="2:5" ht="16.8" x14ac:dyDescent="0.3">
      <c r="B42" s="7" t="s">
        <v>35</v>
      </c>
    </row>
    <row r="43" spans="2:5" x14ac:dyDescent="0.3">
      <c r="B43" s="8" t="s">
        <v>36</v>
      </c>
      <c r="C43" s="8" t="s">
        <v>29</v>
      </c>
      <c r="D43" s="8" t="s">
        <v>30</v>
      </c>
      <c r="E43" s="8" t="s">
        <v>37</v>
      </c>
    </row>
    <row r="44" spans="2:5" x14ac:dyDescent="0.3">
      <c r="B44" s="9" t="s">
        <v>38</v>
      </c>
      <c r="C44" s="15">
        <f>SUMIF(OrderDetails!$F$2:$F$520,B44,OrderDetails!$C$2:$C$520)</f>
        <v>126</v>
      </c>
      <c r="D44" s="11">
        <f>SUMIF(OrderDetails!$F$2:$F$520,B44,OrderDetails!$E$2:$E$520)</f>
        <v>7560000</v>
      </c>
      <c r="E44" s="15">
        <f>COUNTIF(OrderDetails!$F$2:$F$520,B44)</f>
        <v>67</v>
      </c>
    </row>
    <row r="45" spans="2:5" x14ac:dyDescent="0.3">
      <c r="B45" s="9" t="s">
        <v>39</v>
      </c>
      <c r="C45" s="15">
        <f>SUMIF(OrderDetails!$F$2:$F$520,B45,OrderDetails!$C$2:$C$520)</f>
        <v>151</v>
      </c>
      <c r="D45" s="11">
        <f>SUMIF(OrderDetails!$F$2:$F$520,B45,OrderDetails!$E$2:$E$520)</f>
        <v>6040000</v>
      </c>
      <c r="E45" s="15">
        <f>COUNTIF(OrderDetails!$F$2:$F$520,B45)</f>
        <v>78</v>
      </c>
    </row>
    <row r="46" spans="2:5" x14ac:dyDescent="0.3">
      <c r="B46" s="9" t="s">
        <v>40</v>
      </c>
      <c r="C46" s="15">
        <f>SUMIF(OrderDetails!$F$2:$F$520,B46,OrderDetails!$C$2:$C$520)</f>
        <v>108</v>
      </c>
      <c r="D46" s="11">
        <f>SUMIF(OrderDetails!$F$2:$F$520,B46,OrderDetails!$E$2:$E$520)</f>
        <v>1620000</v>
      </c>
      <c r="E46" s="15">
        <f>COUNTIF(OrderDetails!$F$2:$F$520,B46)</f>
        <v>54</v>
      </c>
    </row>
    <row r="47" spans="2:5" x14ac:dyDescent="0.3">
      <c r="B47" s="9" t="s">
        <v>41</v>
      </c>
      <c r="C47" s="15">
        <f>SUMIF(OrderDetails!$F$2:$F$520,B47,OrderDetails!$C$2:$C$520)</f>
        <v>130</v>
      </c>
      <c r="D47" s="11">
        <f>SUMIF(OrderDetails!$F$2:$F$520,B47,OrderDetails!$E$2:$E$520)</f>
        <v>1560000</v>
      </c>
      <c r="E47" s="15">
        <f>COUNTIF(OrderDetails!$F$2:$F$520,B47)</f>
        <v>68</v>
      </c>
    </row>
    <row r="48" spans="2:5" x14ac:dyDescent="0.3">
      <c r="B48" s="9" t="s">
        <v>42</v>
      </c>
      <c r="C48" s="15">
        <f>SUMIF(OrderDetails!$F$2:$F$520,B48,OrderDetails!$C$2:$C$520)</f>
        <v>135</v>
      </c>
      <c r="D48" s="11">
        <f>SUMIF(OrderDetails!$F$2:$F$520,B48,OrderDetails!$E$2:$E$520)</f>
        <v>1080000</v>
      </c>
      <c r="E48" s="15">
        <f>COUNTIF(OrderDetails!$F$2:$F$520,B48)</f>
        <v>68</v>
      </c>
    </row>
    <row r="49" spans="2:5" x14ac:dyDescent="0.3">
      <c r="B49" s="9" t="s">
        <v>43</v>
      </c>
      <c r="C49" s="15">
        <f>SUMIF(OrderDetails!$F$2:$F$520,B49,OrderDetails!$C$2:$C$520)</f>
        <v>134</v>
      </c>
      <c r="D49" s="11">
        <f>SUMIF(OrderDetails!$F$2:$F$520,B49,OrderDetails!$E$2:$E$520)</f>
        <v>938000</v>
      </c>
      <c r="E49" s="15">
        <f>COUNTIF(OrderDetails!$F$2:$F$520,B49)</f>
        <v>59</v>
      </c>
    </row>
    <row r="50" spans="2:5" x14ac:dyDescent="0.3">
      <c r="B50" s="9" t="s">
        <v>44</v>
      </c>
      <c r="C50" s="15">
        <f>SUMIF(OrderDetails!$F$2:$F$520,B50,OrderDetails!$C$2:$C$520)</f>
        <v>119</v>
      </c>
      <c r="D50" s="11">
        <f>SUMIF(OrderDetails!$F$2:$F$520,B50,OrderDetails!$E$2:$E$520)</f>
        <v>595000</v>
      </c>
      <c r="E50" s="15">
        <f>COUNTIF(OrderDetails!$F$2:$F$520,B50)</f>
        <v>60</v>
      </c>
    </row>
    <row r="51" spans="2:5" x14ac:dyDescent="0.3">
      <c r="B51" s="9" t="s">
        <v>45</v>
      </c>
      <c r="C51" s="15">
        <f>SUMIF(OrderDetails!$F$2:$F$520,B51,OrderDetails!$C$2:$C$520)</f>
        <v>130</v>
      </c>
      <c r="D51" s="11">
        <f>SUMIF(OrderDetails!$F$2:$F$520,B51,OrderDetails!$E$2:$E$520)</f>
        <v>390000</v>
      </c>
      <c r="E51" s="15">
        <f>COUNTIF(OrderDetails!$F$2:$F$520,B51)</f>
        <v>65</v>
      </c>
    </row>
    <row r="59" spans="2:5" ht="16.8" x14ac:dyDescent="0.3">
      <c r="B59" s="7" t="s">
        <v>46</v>
      </c>
    </row>
    <row r="60" spans="2:5" x14ac:dyDescent="0.3">
      <c r="B60" s="8" t="s">
        <v>47</v>
      </c>
      <c r="C60" s="8" t="s">
        <v>48</v>
      </c>
      <c r="D60" s="8" t="s">
        <v>11</v>
      </c>
      <c r="E60" s="8" t="s">
        <v>30</v>
      </c>
    </row>
    <row r="61" spans="2:5" x14ac:dyDescent="0.3">
      <c r="B61" s="9" t="s">
        <v>49</v>
      </c>
      <c r="C61" s="15">
        <f>COUNTIF(Customers!$C$2:$C$101,B61)</f>
        <v>15</v>
      </c>
      <c r="D61" s="15">
        <f>COUNTIF(Orders!$E$2:$E$201,B61)</f>
        <v>34</v>
      </c>
      <c r="E61" s="11">
        <f>SUMIF(Orders!$E$2:$E$201,B61,Orders!$D$2:$D$201)</f>
        <v>3890000</v>
      </c>
    </row>
    <row r="62" spans="2:5" x14ac:dyDescent="0.3">
      <c r="B62" s="9" t="s">
        <v>50</v>
      </c>
      <c r="C62" s="15">
        <f>COUNTIF(Customers!$C$2:$C$101,B62)</f>
        <v>9</v>
      </c>
      <c r="D62" s="15">
        <f>COUNTIF(Orders!$E$2:$E$201,B62)</f>
        <v>24</v>
      </c>
      <c r="E62" s="11">
        <f>SUMIF(Orders!$E$2:$E$201,B62,Orders!$D$2:$D$201)</f>
        <v>2206000</v>
      </c>
    </row>
    <row r="63" spans="2:5" x14ac:dyDescent="0.3">
      <c r="B63" s="9" t="s">
        <v>51</v>
      </c>
      <c r="C63" s="15">
        <f>COUNTIF(Customers!$C$2:$C$101,B63)</f>
        <v>11</v>
      </c>
      <c r="D63" s="15">
        <f>COUNTIF(Orders!$E$2:$E$201,B63)</f>
        <v>22</v>
      </c>
      <c r="E63" s="11">
        <f>SUMIF(Orders!$E$2:$E$201,B63,Orders!$D$2:$D$201)</f>
        <v>2102000</v>
      </c>
    </row>
    <row r="64" spans="2:5" x14ac:dyDescent="0.3">
      <c r="B64" s="9" t="s">
        <v>52</v>
      </c>
      <c r="C64" s="15">
        <f>COUNTIF(Customers!$C$2:$C$101,B64)</f>
        <v>16</v>
      </c>
      <c r="D64" s="15">
        <f>COUNTIF(Orders!$E$2:$E$201,B64)</f>
        <v>28</v>
      </c>
      <c r="E64" s="11">
        <f>SUMIF(Orders!$E$2:$E$201,B64,Orders!$D$2:$D$201)</f>
        <v>2066000</v>
      </c>
    </row>
    <row r="65" spans="2:5" x14ac:dyDescent="0.3">
      <c r="B65" s="9" t="s">
        <v>53</v>
      </c>
      <c r="C65" s="15">
        <f>COUNTIF(Customers!$C$2:$C$101,B65)</f>
        <v>8</v>
      </c>
      <c r="D65" s="15">
        <f>COUNTIF(Orders!$E$2:$E$201,B65)</f>
        <v>22</v>
      </c>
      <c r="E65" s="11">
        <f>SUMIF(Orders!$E$2:$E$201,B65,Orders!$D$2:$D$201)</f>
        <v>1928000</v>
      </c>
    </row>
    <row r="66" spans="2:5" x14ac:dyDescent="0.3">
      <c r="B66" s="9" t="s">
        <v>54</v>
      </c>
      <c r="C66" s="15">
        <f>COUNTIF(Customers!$C$2:$C$101,B66)</f>
        <v>8</v>
      </c>
      <c r="D66" s="15">
        <f>COUNTIF(Orders!$E$2:$E$201,B66)</f>
        <v>15</v>
      </c>
      <c r="E66" s="11">
        <f>SUMIF(Orders!$E$2:$E$201,B66,Orders!$D$2:$D$201)</f>
        <v>1899000</v>
      </c>
    </row>
    <row r="67" spans="2:5" x14ac:dyDescent="0.3">
      <c r="B67" s="9" t="s">
        <v>55</v>
      </c>
      <c r="C67" s="15">
        <f>COUNTIF(Customers!$C$2:$C$101,B67)</f>
        <v>10</v>
      </c>
      <c r="D67" s="15">
        <f>COUNTIF(Orders!$E$2:$E$201,B67)</f>
        <v>17</v>
      </c>
      <c r="E67" s="11">
        <f>SUMIF(Orders!$E$2:$E$201,B67,Orders!$D$2:$D$201)</f>
        <v>1616000</v>
      </c>
    </row>
    <row r="68" spans="2:5" x14ac:dyDescent="0.3">
      <c r="B68" s="9" t="s">
        <v>56</v>
      </c>
      <c r="C68" s="15">
        <f>COUNTIF(Customers!$C$2:$C$101,B68)</f>
        <v>8</v>
      </c>
      <c r="D68" s="15">
        <f>COUNTIF(Orders!$E$2:$E$201,B68)</f>
        <v>17</v>
      </c>
      <c r="E68" s="11">
        <f>SUMIF(Orders!$E$2:$E$201,B68,Orders!$D$2:$D$201)</f>
        <v>1589000</v>
      </c>
    </row>
    <row r="69" spans="2:5" x14ac:dyDescent="0.3">
      <c r="B69" s="9" t="s">
        <v>57</v>
      </c>
      <c r="C69" s="15">
        <f>COUNTIF(Customers!$C$2:$C$101,B69)</f>
        <v>10</v>
      </c>
      <c r="D69" s="15">
        <f>COUNTIF(Orders!$E$2:$E$201,B69)</f>
        <v>12</v>
      </c>
      <c r="E69" s="11">
        <f>SUMIF(Orders!$E$2:$E$201,B69,Orders!$D$2:$D$201)</f>
        <v>1323000</v>
      </c>
    </row>
    <row r="70" spans="2:5" x14ac:dyDescent="0.3">
      <c r="B70" s="9" t="s">
        <v>58</v>
      </c>
      <c r="C70" s="15">
        <f>COUNTIF(Customers!$C$2:$C$101,B70)</f>
        <v>5</v>
      </c>
      <c r="D70" s="15">
        <f>COUNTIF(Orders!$E$2:$E$201,B70)</f>
        <v>9</v>
      </c>
      <c r="E70" s="11">
        <f>SUMIF(Orders!$E$2:$E$201,B70,Orders!$D$2:$D$201)</f>
        <v>1164000</v>
      </c>
    </row>
    <row r="76" spans="2:5" ht="16.8" x14ac:dyDescent="0.3">
      <c r="B76" s="7" t="s">
        <v>59</v>
      </c>
    </row>
    <row r="77" spans="2:5" x14ac:dyDescent="0.3">
      <c r="B77" s="8" t="s">
        <v>60</v>
      </c>
      <c r="C77" s="8" t="s">
        <v>48</v>
      </c>
      <c r="D77" s="8" t="s">
        <v>30</v>
      </c>
      <c r="E77" s="8" t="s">
        <v>61</v>
      </c>
    </row>
    <row r="78" spans="2:5" x14ac:dyDescent="0.3">
      <c r="B78" s="9" t="s">
        <v>62</v>
      </c>
      <c r="C78" s="15">
        <f>COUNTIF(Customers!$F$2:$F$101,B78)</f>
        <v>16</v>
      </c>
      <c r="D78" s="11">
        <f>SUMIF(Customers!$F$2:$F$101,B78,Customers!$E$2:$E$101)</f>
        <v>0</v>
      </c>
      <c r="E78" s="9" t="str">
        <f>IF(B78="Never ordered","0 orders",IF(B78="One-time buyer","1 order",IF(B78="Occasional shopper","2-4 orders","5+ orders")))</f>
        <v>0 orders</v>
      </c>
    </row>
    <row r="79" spans="2:5" x14ac:dyDescent="0.3">
      <c r="B79" s="9" t="s">
        <v>63</v>
      </c>
      <c r="C79" s="15">
        <f>COUNTIF(Customers!$F$2:$F$101,B79)</f>
        <v>26</v>
      </c>
      <c r="D79" s="11">
        <f>SUMIF(Customers!$F$2:$F$101,B79,Customers!$E$2:$E$101)</f>
        <v>2693000</v>
      </c>
      <c r="E79" s="9" t="str">
        <f>IF(B79="Never ordered","0 orders",IF(B79="One-time buyer","1 order",IF(B79="Occasional shopper","2-4 orders","5+ orders")))</f>
        <v>1 order</v>
      </c>
    </row>
    <row r="80" spans="2:5" x14ac:dyDescent="0.3">
      <c r="B80" s="9" t="s">
        <v>64</v>
      </c>
      <c r="C80" s="15">
        <f>COUNTIF(Customers!$F$2:$F$101,B80)</f>
        <v>50</v>
      </c>
      <c r="D80" s="11">
        <f>SUMIF(Customers!$F$2:$F$101,B80,Customers!$E$2:$E$101)</f>
        <v>13164000</v>
      </c>
      <c r="E80" s="9" t="str">
        <f>IF(B80="Never ordered","0 orders",IF(B80="One-time buyer","1 order",IF(B80="Occasional shopper","2-4 orders","5+ orders")))</f>
        <v>2-4 orders</v>
      </c>
    </row>
    <row r="81" spans="2:5" x14ac:dyDescent="0.3">
      <c r="B81" s="9" t="s">
        <v>65</v>
      </c>
      <c r="C81" s="15">
        <f>COUNTIF(Customers!$F$2:$F$101,B81)</f>
        <v>8</v>
      </c>
      <c r="D81" s="11">
        <f>SUMIF(Customers!$F$2:$F$101,B81,Customers!$E$2:$E$101)</f>
        <v>3926000</v>
      </c>
      <c r="E81" s="9" t="str">
        <f>IF(B81="Never ordered","0 orders",IF(B81="One-time buyer","1 order",IF(B81="Occasional shopper","2-4 orders","5+ orders")))</f>
        <v>5+ orders</v>
      </c>
    </row>
    <row r="93" spans="2:5" ht="16.8" x14ac:dyDescent="0.3">
      <c r="B93" s="7" t="s">
        <v>66</v>
      </c>
    </row>
    <row r="94" spans="2:5" ht="27.6" x14ac:dyDescent="0.3">
      <c r="B94" s="8" t="s">
        <v>67</v>
      </c>
      <c r="C94" s="8" t="s">
        <v>48</v>
      </c>
      <c r="D94" s="8" t="s">
        <v>30</v>
      </c>
      <c r="E94" s="8" t="s">
        <v>68</v>
      </c>
    </row>
    <row r="95" spans="2:5" x14ac:dyDescent="0.3">
      <c r="B95" s="9" t="s">
        <v>69</v>
      </c>
      <c r="C95" s="15">
        <f>INDEX(RFM!$M$4:$M$8,MATCH(B95,RFM!$L$4:$L$8,0))</f>
        <v>23</v>
      </c>
      <c r="D95" s="11">
        <f>INDEX(RFM!$N$4:$N$8,MATCH(B95,RFM!$L$4:$L$8,0))</f>
        <v>10440000</v>
      </c>
      <c r="E95" s="12">
        <f>INDEX(RFM!$O$4:$O$8,MATCH(B95,RFM!$L$4:$L$8,0))</f>
        <v>0.52772582520345757</v>
      </c>
    </row>
    <row r="96" spans="2:5" x14ac:dyDescent="0.3">
      <c r="B96" s="9" t="s">
        <v>70</v>
      </c>
      <c r="C96" s="15">
        <f>INDEX(RFM!$M$4:$M$8,MATCH(B96,RFM!$L$4:$L$8,0))</f>
        <v>12</v>
      </c>
      <c r="D96" s="11">
        <f>INDEX(RFM!$N$4:$N$8,MATCH(B96,RFM!$L$4:$L$8,0))</f>
        <v>1441000</v>
      </c>
      <c r="E96" s="12">
        <f>INDEX(RFM!$O$4:$O$8,MATCH(B96,RFM!$L$4:$L$8,0))</f>
        <v>7.2840317444270331E-2</v>
      </c>
    </row>
    <row r="97" spans="2:5" x14ac:dyDescent="0.3">
      <c r="B97" s="9" t="s">
        <v>71</v>
      </c>
      <c r="C97" s="15">
        <f>INDEX(RFM!$M$4:$M$8,MATCH(B97,RFM!$L$4:$L$8,0))</f>
        <v>20</v>
      </c>
      <c r="D97" s="11">
        <f>INDEX(RFM!$N$4:$N$8,MATCH(B97,RFM!$L$4:$L$8,0))</f>
        <v>3421000</v>
      </c>
      <c r="E97" s="12">
        <f>INDEX(RFM!$O$4:$O$8,MATCH(B97,RFM!$L$4:$L$8,0))</f>
        <v>0.1729262498104433</v>
      </c>
    </row>
    <row r="98" spans="2:5" x14ac:dyDescent="0.3">
      <c r="B98" s="9" t="s">
        <v>72</v>
      </c>
      <c r="C98" s="15">
        <f>INDEX(RFM!$M$4:$M$8,MATCH(B98,RFM!$L$4:$L$8,0))</f>
        <v>13</v>
      </c>
      <c r="D98" s="11">
        <f>INDEX(RFM!$N$4:$N$8,MATCH(B98,RFM!$L$4:$L$8,0))</f>
        <v>2717000</v>
      </c>
      <c r="E98" s="12">
        <f>INDEX(RFM!$O$4:$O$8,MATCH(B98,RFM!$L$4:$L$8,0))</f>
        <v>0.13734014052469293</v>
      </c>
    </row>
    <row r="99" spans="2:5" x14ac:dyDescent="0.3">
      <c r="B99" s="9" t="s">
        <v>73</v>
      </c>
      <c r="C99" s="15">
        <f>INDEX(RFM!$M$4:$M$8,MATCH(B99,RFM!$L$4:$L$8,0))</f>
        <v>16</v>
      </c>
      <c r="D99" s="11">
        <f>INDEX(RFM!$N$4:$N$8,MATCH(B99,RFM!$L$4:$L$8,0))</f>
        <v>1764000</v>
      </c>
      <c r="E99" s="12">
        <f>INDEX(RFM!$O$4:$O$8,MATCH(B99,RFM!$L$4:$L$8,0))</f>
        <v>8.9167467017135918E-2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12" customWidth="1"/>
    <col min="4" max="4" width="16" customWidth="1"/>
    <col min="5" max="5" width="15" customWidth="1"/>
    <col min="6" max="6" width="12" customWidth="1"/>
  </cols>
  <sheetData>
    <row r="1" spans="1:6" x14ac:dyDescent="0.3">
      <c r="A1" s="8" t="s">
        <v>74</v>
      </c>
      <c r="B1" s="8" t="s">
        <v>75</v>
      </c>
      <c r="C1" s="8" t="s">
        <v>76</v>
      </c>
      <c r="D1" s="8" t="s">
        <v>77</v>
      </c>
      <c r="E1" s="8" t="s">
        <v>78</v>
      </c>
      <c r="F1" s="8" t="s">
        <v>79</v>
      </c>
    </row>
    <row r="2" spans="1:6" x14ac:dyDescent="0.3">
      <c r="A2" s="16">
        <v>1</v>
      </c>
      <c r="B2" s="16" t="s">
        <v>80</v>
      </c>
      <c r="C2" s="16" t="s">
        <v>52</v>
      </c>
      <c r="D2" s="16">
        <f>COUNTIF(Orders!$C$2:$C$201,A2)</f>
        <v>1</v>
      </c>
      <c r="E2" s="17">
        <f>SUMIF(Orders!$C$2:$C$201,A2,Orders!$D$2:$D$201)</f>
        <v>61000</v>
      </c>
      <c r="F2" s="16" t="str">
        <f t="shared" ref="F2:F33" si="0">IF(D2=0,"Never ordered",IF(D2=1,"One-time buyer",IF(D2&lt;=4,"Occasional shopper","Regular customer")))</f>
        <v>One-time buyer</v>
      </c>
    </row>
    <row r="3" spans="1:6" x14ac:dyDescent="0.3">
      <c r="A3" s="16">
        <v>2</v>
      </c>
      <c r="B3" s="16" t="s">
        <v>81</v>
      </c>
      <c r="C3" s="16" t="s">
        <v>49</v>
      </c>
      <c r="D3" s="16">
        <f>COUNTIF(Orders!$C$2:$C$201,A3)</f>
        <v>2</v>
      </c>
      <c r="E3" s="17">
        <f>SUMIF(Orders!$C$2:$C$201,A3,Orders!$D$2:$D$201)</f>
        <v>219000</v>
      </c>
      <c r="F3" s="16" t="str">
        <f t="shared" si="0"/>
        <v>Occasional shopper</v>
      </c>
    </row>
    <row r="4" spans="1:6" x14ac:dyDescent="0.3">
      <c r="A4" s="16">
        <v>3</v>
      </c>
      <c r="B4" s="16" t="s">
        <v>82</v>
      </c>
      <c r="C4" s="16" t="s">
        <v>49</v>
      </c>
      <c r="D4" s="16">
        <f>COUNTIF(Orders!$C$2:$C$201,A4)</f>
        <v>0</v>
      </c>
      <c r="E4" s="17">
        <f>SUMIF(Orders!$C$2:$C$201,A4,Orders!$D$2:$D$201)</f>
        <v>0</v>
      </c>
      <c r="F4" s="16" t="str">
        <f t="shared" si="0"/>
        <v>Never ordered</v>
      </c>
    </row>
    <row r="5" spans="1:6" x14ac:dyDescent="0.3">
      <c r="A5" s="16">
        <v>4</v>
      </c>
      <c r="B5" s="16" t="s">
        <v>83</v>
      </c>
      <c r="C5" s="16" t="s">
        <v>57</v>
      </c>
      <c r="D5" s="16">
        <f>COUNTIF(Orders!$C$2:$C$201,A5)</f>
        <v>3</v>
      </c>
      <c r="E5" s="17">
        <f>SUMIF(Orders!$C$2:$C$201,A5,Orders!$D$2:$D$201)</f>
        <v>444000</v>
      </c>
      <c r="F5" s="16" t="str">
        <f t="shared" si="0"/>
        <v>Occasional shopper</v>
      </c>
    </row>
    <row r="6" spans="1:6" x14ac:dyDescent="0.3">
      <c r="A6" s="16">
        <v>5</v>
      </c>
      <c r="B6" s="16" t="s">
        <v>84</v>
      </c>
      <c r="C6" s="16" t="s">
        <v>57</v>
      </c>
      <c r="D6" s="16">
        <f>COUNTIF(Orders!$C$2:$C$201,A6)</f>
        <v>2</v>
      </c>
      <c r="E6" s="17">
        <f>SUMIF(Orders!$C$2:$C$201,A6,Orders!$D$2:$D$201)</f>
        <v>75000</v>
      </c>
      <c r="F6" s="16" t="str">
        <f t="shared" si="0"/>
        <v>Occasional shopper</v>
      </c>
    </row>
    <row r="7" spans="1:6" x14ac:dyDescent="0.3">
      <c r="A7" s="16">
        <v>6</v>
      </c>
      <c r="B7" s="16" t="s">
        <v>85</v>
      </c>
      <c r="C7" s="16" t="s">
        <v>49</v>
      </c>
      <c r="D7" s="16">
        <f>COUNTIF(Orders!$C$2:$C$201,A7)</f>
        <v>0</v>
      </c>
      <c r="E7" s="17">
        <f>SUMIF(Orders!$C$2:$C$201,A7,Orders!$D$2:$D$201)</f>
        <v>0</v>
      </c>
      <c r="F7" s="16" t="str">
        <f t="shared" si="0"/>
        <v>Never ordered</v>
      </c>
    </row>
    <row r="8" spans="1:6" x14ac:dyDescent="0.3">
      <c r="A8" s="16">
        <v>7</v>
      </c>
      <c r="B8" s="16" t="s">
        <v>86</v>
      </c>
      <c r="C8" s="16" t="s">
        <v>49</v>
      </c>
      <c r="D8" s="16">
        <f>COUNTIF(Orders!$C$2:$C$201,A8)</f>
        <v>2</v>
      </c>
      <c r="E8" s="17">
        <f>SUMIF(Orders!$C$2:$C$201,A8,Orders!$D$2:$D$201)</f>
        <v>20000</v>
      </c>
      <c r="F8" s="16" t="str">
        <f t="shared" si="0"/>
        <v>Occasional shopper</v>
      </c>
    </row>
    <row r="9" spans="1:6" x14ac:dyDescent="0.3">
      <c r="A9" s="16">
        <v>8</v>
      </c>
      <c r="B9" s="16" t="s">
        <v>87</v>
      </c>
      <c r="C9" s="16" t="s">
        <v>52</v>
      </c>
      <c r="D9" s="16">
        <f>COUNTIF(Orders!$C$2:$C$201,A9)</f>
        <v>0</v>
      </c>
      <c r="E9" s="17">
        <f>SUMIF(Orders!$C$2:$C$201,A9,Orders!$D$2:$D$201)</f>
        <v>0</v>
      </c>
      <c r="F9" s="16" t="str">
        <f t="shared" si="0"/>
        <v>Never ordered</v>
      </c>
    </row>
    <row r="10" spans="1:6" x14ac:dyDescent="0.3">
      <c r="A10" s="16">
        <v>9</v>
      </c>
      <c r="B10" s="16" t="s">
        <v>88</v>
      </c>
      <c r="C10" s="16" t="s">
        <v>56</v>
      </c>
      <c r="D10" s="16">
        <f>COUNTIF(Orders!$C$2:$C$201,A10)</f>
        <v>1</v>
      </c>
      <c r="E10" s="17">
        <f>SUMIF(Orders!$C$2:$C$201,A10,Orders!$D$2:$D$201)</f>
        <v>12000</v>
      </c>
      <c r="F10" s="16" t="str">
        <f t="shared" si="0"/>
        <v>One-time buyer</v>
      </c>
    </row>
    <row r="11" spans="1:6" x14ac:dyDescent="0.3">
      <c r="A11" s="16">
        <v>10</v>
      </c>
      <c r="B11" s="16" t="s">
        <v>89</v>
      </c>
      <c r="C11" s="16" t="s">
        <v>55</v>
      </c>
      <c r="D11" s="16">
        <f>COUNTIF(Orders!$C$2:$C$201,A11)</f>
        <v>3</v>
      </c>
      <c r="E11" s="17">
        <f>SUMIF(Orders!$C$2:$C$201,A11,Orders!$D$2:$D$201)</f>
        <v>172000</v>
      </c>
      <c r="F11" s="16" t="str">
        <f t="shared" si="0"/>
        <v>Occasional shopper</v>
      </c>
    </row>
    <row r="12" spans="1:6" x14ac:dyDescent="0.3">
      <c r="A12" s="16">
        <v>11</v>
      </c>
      <c r="B12" s="16" t="s">
        <v>90</v>
      </c>
      <c r="C12" s="16" t="s">
        <v>50</v>
      </c>
      <c r="D12" s="16">
        <f>COUNTIF(Orders!$C$2:$C$201,A12)</f>
        <v>5</v>
      </c>
      <c r="E12" s="17">
        <f>SUMIF(Orders!$C$2:$C$201,A12,Orders!$D$2:$D$201)</f>
        <v>242000</v>
      </c>
      <c r="F12" s="16" t="str">
        <f t="shared" si="0"/>
        <v>Regular customer</v>
      </c>
    </row>
    <row r="13" spans="1:6" x14ac:dyDescent="0.3">
      <c r="A13" s="16">
        <v>12</v>
      </c>
      <c r="B13" s="16" t="s">
        <v>91</v>
      </c>
      <c r="C13" s="16" t="s">
        <v>53</v>
      </c>
      <c r="D13" s="16">
        <f>COUNTIF(Orders!$C$2:$C$201,A13)</f>
        <v>1</v>
      </c>
      <c r="E13" s="17">
        <f>SUMIF(Orders!$C$2:$C$201,A13,Orders!$D$2:$D$201)</f>
        <v>185000</v>
      </c>
      <c r="F13" s="16" t="str">
        <f t="shared" si="0"/>
        <v>One-time buyer</v>
      </c>
    </row>
    <row r="14" spans="1:6" x14ac:dyDescent="0.3">
      <c r="A14" s="16">
        <v>13</v>
      </c>
      <c r="B14" s="16" t="s">
        <v>92</v>
      </c>
      <c r="C14" s="16" t="s">
        <v>55</v>
      </c>
      <c r="D14" s="16">
        <f>COUNTIF(Orders!$C$2:$C$201,A14)</f>
        <v>1</v>
      </c>
      <c r="E14" s="17">
        <f>SUMIF(Orders!$C$2:$C$201,A14,Orders!$D$2:$D$201)</f>
        <v>46000</v>
      </c>
      <c r="F14" s="16" t="str">
        <f t="shared" si="0"/>
        <v>One-time buyer</v>
      </c>
    </row>
    <row r="15" spans="1:6" x14ac:dyDescent="0.3">
      <c r="A15" s="16">
        <v>14</v>
      </c>
      <c r="B15" s="16" t="s">
        <v>93</v>
      </c>
      <c r="C15" s="16" t="s">
        <v>50</v>
      </c>
      <c r="D15" s="16">
        <f>COUNTIF(Orders!$C$2:$C$201,A15)</f>
        <v>4</v>
      </c>
      <c r="E15" s="17">
        <f>SUMIF(Orders!$C$2:$C$201,A15,Orders!$D$2:$D$201)</f>
        <v>175000</v>
      </c>
      <c r="F15" s="16" t="str">
        <f t="shared" si="0"/>
        <v>Occasional shopper</v>
      </c>
    </row>
    <row r="16" spans="1:6" x14ac:dyDescent="0.3">
      <c r="A16" s="16">
        <v>15</v>
      </c>
      <c r="B16" s="16" t="s">
        <v>94</v>
      </c>
      <c r="C16" s="16" t="s">
        <v>52</v>
      </c>
      <c r="D16" s="16">
        <f>COUNTIF(Orders!$C$2:$C$201,A16)</f>
        <v>0</v>
      </c>
      <c r="E16" s="17">
        <f>SUMIF(Orders!$C$2:$C$201,A16,Orders!$D$2:$D$201)</f>
        <v>0</v>
      </c>
      <c r="F16" s="16" t="str">
        <f t="shared" si="0"/>
        <v>Never ordered</v>
      </c>
    </row>
    <row r="17" spans="1:6" x14ac:dyDescent="0.3">
      <c r="A17" s="16">
        <v>16</v>
      </c>
      <c r="B17" s="16" t="s">
        <v>95</v>
      </c>
      <c r="C17" s="16" t="s">
        <v>51</v>
      </c>
      <c r="D17" s="16">
        <f>COUNTIF(Orders!$C$2:$C$201,A17)</f>
        <v>3</v>
      </c>
      <c r="E17" s="17">
        <f>SUMIF(Orders!$C$2:$C$201,A17,Orders!$D$2:$D$201)</f>
        <v>148000</v>
      </c>
      <c r="F17" s="16" t="str">
        <f t="shared" si="0"/>
        <v>Occasional shopper</v>
      </c>
    </row>
    <row r="18" spans="1:6" x14ac:dyDescent="0.3">
      <c r="A18" s="16">
        <v>17</v>
      </c>
      <c r="B18" s="16" t="s">
        <v>96</v>
      </c>
      <c r="C18" s="16" t="s">
        <v>51</v>
      </c>
      <c r="D18" s="16">
        <f>COUNTIF(Orders!$C$2:$C$201,A18)</f>
        <v>4</v>
      </c>
      <c r="E18" s="17">
        <f>SUMIF(Orders!$C$2:$C$201,A18,Orders!$D$2:$D$201)</f>
        <v>864000</v>
      </c>
      <c r="F18" s="16" t="str">
        <f t="shared" si="0"/>
        <v>Occasional shopper</v>
      </c>
    </row>
    <row r="19" spans="1:6" x14ac:dyDescent="0.3">
      <c r="A19" s="16">
        <v>18</v>
      </c>
      <c r="B19" s="16" t="s">
        <v>97</v>
      </c>
      <c r="C19" s="16" t="s">
        <v>51</v>
      </c>
      <c r="D19" s="16">
        <f>COUNTIF(Orders!$C$2:$C$201,A19)</f>
        <v>2</v>
      </c>
      <c r="E19" s="17">
        <f>SUMIF(Orders!$C$2:$C$201,A19,Orders!$D$2:$D$201)</f>
        <v>128000</v>
      </c>
      <c r="F19" s="16" t="str">
        <f t="shared" si="0"/>
        <v>Occasional shopper</v>
      </c>
    </row>
    <row r="20" spans="1:6" x14ac:dyDescent="0.3">
      <c r="A20" s="16">
        <v>19</v>
      </c>
      <c r="B20" s="16" t="s">
        <v>98</v>
      </c>
      <c r="C20" s="16" t="s">
        <v>57</v>
      </c>
      <c r="D20" s="16">
        <f>COUNTIF(Orders!$C$2:$C$201,A20)</f>
        <v>1</v>
      </c>
      <c r="E20" s="17">
        <f>SUMIF(Orders!$C$2:$C$201,A20,Orders!$D$2:$D$201)</f>
        <v>321000</v>
      </c>
      <c r="F20" s="16" t="str">
        <f t="shared" si="0"/>
        <v>One-time buyer</v>
      </c>
    </row>
    <row r="21" spans="1:6" x14ac:dyDescent="0.3">
      <c r="A21" s="16">
        <v>20</v>
      </c>
      <c r="B21" s="16" t="s">
        <v>99</v>
      </c>
      <c r="C21" s="16" t="s">
        <v>57</v>
      </c>
      <c r="D21" s="16">
        <f>COUNTIF(Orders!$C$2:$C$201,A21)</f>
        <v>1</v>
      </c>
      <c r="E21" s="17">
        <f>SUMIF(Orders!$C$2:$C$201,A21,Orders!$D$2:$D$201)</f>
        <v>176000</v>
      </c>
      <c r="F21" s="16" t="str">
        <f t="shared" si="0"/>
        <v>One-time buyer</v>
      </c>
    </row>
    <row r="22" spans="1:6" x14ac:dyDescent="0.3">
      <c r="A22" s="16">
        <v>21</v>
      </c>
      <c r="B22" s="16" t="s">
        <v>100</v>
      </c>
      <c r="C22" s="16" t="s">
        <v>50</v>
      </c>
      <c r="D22" s="16">
        <f>COUNTIF(Orders!$C$2:$C$201,A22)</f>
        <v>0</v>
      </c>
      <c r="E22" s="17">
        <f>SUMIF(Orders!$C$2:$C$201,A22,Orders!$D$2:$D$201)</f>
        <v>0</v>
      </c>
      <c r="F22" s="16" t="str">
        <f t="shared" si="0"/>
        <v>Never ordered</v>
      </c>
    </row>
    <row r="23" spans="1:6" x14ac:dyDescent="0.3">
      <c r="A23" s="16">
        <v>22</v>
      </c>
      <c r="B23" s="16" t="s">
        <v>101</v>
      </c>
      <c r="C23" s="16" t="s">
        <v>55</v>
      </c>
      <c r="D23" s="16">
        <f>COUNTIF(Orders!$C$2:$C$201,A23)</f>
        <v>3</v>
      </c>
      <c r="E23" s="17">
        <f>SUMIF(Orders!$C$2:$C$201,A23,Orders!$D$2:$D$201)</f>
        <v>235000</v>
      </c>
      <c r="F23" s="16" t="str">
        <f t="shared" si="0"/>
        <v>Occasional shopper</v>
      </c>
    </row>
    <row r="24" spans="1:6" x14ac:dyDescent="0.3">
      <c r="A24" s="16">
        <v>23</v>
      </c>
      <c r="B24" s="16" t="s">
        <v>102</v>
      </c>
      <c r="C24" s="16" t="s">
        <v>49</v>
      </c>
      <c r="D24" s="16">
        <f>COUNTIF(Orders!$C$2:$C$201,A24)</f>
        <v>2</v>
      </c>
      <c r="E24" s="17">
        <f>SUMIF(Orders!$C$2:$C$201,A24,Orders!$D$2:$D$201)</f>
        <v>201000</v>
      </c>
      <c r="F24" s="16" t="str">
        <f t="shared" si="0"/>
        <v>Occasional shopper</v>
      </c>
    </row>
    <row r="25" spans="1:6" x14ac:dyDescent="0.3">
      <c r="A25" s="16">
        <v>24</v>
      </c>
      <c r="B25" s="16" t="s">
        <v>103</v>
      </c>
      <c r="C25" s="16" t="s">
        <v>58</v>
      </c>
      <c r="D25" s="16">
        <f>COUNTIF(Orders!$C$2:$C$201,A25)</f>
        <v>4</v>
      </c>
      <c r="E25" s="17">
        <f>SUMIF(Orders!$C$2:$C$201,A25,Orders!$D$2:$D$201)</f>
        <v>693000</v>
      </c>
      <c r="F25" s="16" t="str">
        <f t="shared" si="0"/>
        <v>Occasional shopper</v>
      </c>
    </row>
    <row r="26" spans="1:6" x14ac:dyDescent="0.3">
      <c r="A26" s="16">
        <v>25</v>
      </c>
      <c r="B26" s="16" t="s">
        <v>104</v>
      </c>
      <c r="C26" s="16" t="s">
        <v>55</v>
      </c>
      <c r="D26" s="16">
        <f>COUNTIF(Orders!$C$2:$C$201,A26)</f>
        <v>2</v>
      </c>
      <c r="E26" s="17">
        <f>SUMIF(Orders!$C$2:$C$201,A26,Orders!$D$2:$D$201)</f>
        <v>135000</v>
      </c>
      <c r="F26" s="16" t="str">
        <f t="shared" si="0"/>
        <v>Occasional shopper</v>
      </c>
    </row>
    <row r="27" spans="1:6" x14ac:dyDescent="0.3">
      <c r="A27" s="16">
        <v>26</v>
      </c>
      <c r="B27" s="16" t="s">
        <v>105</v>
      </c>
      <c r="C27" s="16" t="s">
        <v>53</v>
      </c>
      <c r="D27" s="16">
        <f>COUNTIF(Orders!$C$2:$C$201,A27)</f>
        <v>2</v>
      </c>
      <c r="E27" s="17">
        <f>SUMIF(Orders!$C$2:$C$201,A27,Orders!$D$2:$D$201)</f>
        <v>261000</v>
      </c>
      <c r="F27" s="16" t="str">
        <f t="shared" si="0"/>
        <v>Occasional shopper</v>
      </c>
    </row>
    <row r="28" spans="1:6" x14ac:dyDescent="0.3">
      <c r="A28" s="16">
        <v>27</v>
      </c>
      <c r="B28" s="16" t="s">
        <v>106</v>
      </c>
      <c r="C28" s="16" t="s">
        <v>51</v>
      </c>
      <c r="D28" s="16">
        <f>COUNTIF(Orders!$C$2:$C$201,A28)</f>
        <v>0</v>
      </c>
      <c r="E28" s="17">
        <f>SUMIF(Orders!$C$2:$C$201,A28,Orders!$D$2:$D$201)</f>
        <v>0</v>
      </c>
      <c r="F28" s="16" t="str">
        <f t="shared" si="0"/>
        <v>Never ordered</v>
      </c>
    </row>
    <row r="29" spans="1:6" x14ac:dyDescent="0.3">
      <c r="A29" s="16">
        <v>28</v>
      </c>
      <c r="B29" s="16" t="s">
        <v>107</v>
      </c>
      <c r="C29" s="16" t="s">
        <v>50</v>
      </c>
      <c r="D29" s="16">
        <f>COUNTIF(Orders!$C$2:$C$201,A29)</f>
        <v>2</v>
      </c>
      <c r="E29" s="17">
        <f>SUMIF(Orders!$C$2:$C$201,A29,Orders!$D$2:$D$201)</f>
        <v>216000</v>
      </c>
      <c r="F29" s="16" t="str">
        <f t="shared" si="0"/>
        <v>Occasional shopper</v>
      </c>
    </row>
    <row r="30" spans="1:6" x14ac:dyDescent="0.3">
      <c r="A30" s="16">
        <v>29</v>
      </c>
      <c r="B30" s="16" t="s">
        <v>108</v>
      </c>
      <c r="C30" s="16" t="s">
        <v>49</v>
      </c>
      <c r="D30" s="16">
        <f>COUNTIF(Orders!$C$2:$C$201,A30)</f>
        <v>1</v>
      </c>
      <c r="E30" s="17">
        <f>SUMIF(Orders!$C$2:$C$201,A30,Orders!$D$2:$D$201)</f>
        <v>145000</v>
      </c>
      <c r="F30" s="16" t="str">
        <f t="shared" si="0"/>
        <v>One-time buyer</v>
      </c>
    </row>
    <row r="31" spans="1:6" x14ac:dyDescent="0.3">
      <c r="A31" s="16">
        <v>30</v>
      </c>
      <c r="B31" s="16" t="s">
        <v>109</v>
      </c>
      <c r="C31" s="16" t="s">
        <v>51</v>
      </c>
      <c r="D31" s="16">
        <f>COUNTIF(Orders!$C$2:$C$201,A31)</f>
        <v>1</v>
      </c>
      <c r="E31" s="17">
        <f>SUMIF(Orders!$C$2:$C$201,A31,Orders!$D$2:$D$201)</f>
        <v>68000</v>
      </c>
      <c r="F31" s="16" t="str">
        <f t="shared" si="0"/>
        <v>One-time buyer</v>
      </c>
    </row>
    <row r="32" spans="1:6" x14ac:dyDescent="0.3">
      <c r="A32" s="16">
        <v>31</v>
      </c>
      <c r="B32" s="16" t="s">
        <v>110</v>
      </c>
      <c r="C32" s="16" t="s">
        <v>58</v>
      </c>
      <c r="D32" s="16">
        <f>COUNTIF(Orders!$C$2:$C$201,A32)</f>
        <v>1</v>
      </c>
      <c r="E32" s="17">
        <f>SUMIF(Orders!$C$2:$C$201,A32,Orders!$D$2:$D$201)</f>
        <v>84000</v>
      </c>
      <c r="F32" s="16" t="str">
        <f t="shared" si="0"/>
        <v>One-time buyer</v>
      </c>
    </row>
    <row r="33" spans="1:6" x14ac:dyDescent="0.3">
      <c r="A33" s="16">
        <v>32</v>
      </c>
      <c r="B33" s="16" t="s">
        <v>111</v>
      </c>
      <c r="C33" s="16" t="s">
        <v>49</v>
      </c>
      <c r="D33" s="16">
        <f>COUNTIF(Orders!$C$2:$C$201,A33)</f>
        <v>6</v>
      </c>
      <c r="E33" s="17">
        <f>SUMIF(Orders!$C$2:$C$201,A33,Orders!$D$2:$D$201)</f>
        <v>889000</v>
      </c>
      <c r="F33" s="16" t="str">
        <f t="shared" si="0"/>
        <v>Regular customer</v>
      </c>
    </row>
    <row r="34" spans="1:6" x14ac:dyDescent="0.3">
      <c r="A34" s="16">
        <v>33</v>
      </c>
      <c r="B34" s="16" t="s">
        <v>112</v>
      </c>
      <c r="C34" s="16" t="s">
        <v>54</v>
      </c>
      <c r="D34" s="16">
        <f>COUNTIF(Orders!$C$2:$C$201,A34)</f>
        <v>2</v>
      </c>
      <c r="E34" s="17">
        <f>SUMIF(Orders!$C$2:$C$201,A34,Orders!$D$2:$D$201)</f>
        <v>236000</v>
      </c>
      <c r="F34" s="16" t="str">
        <f t="shared" ref="F34:F65" si="1">IF(D34=0,"Never ordered",IF(D34=1,"One-time buyer",IF(D34&lt;=4,"Occasional shopper","Regular customer")))</f>
        <v>Occasional shopper</v>
      </c>
    </row>
    <row r="35" spans="1:6" x14ac:dyDescent="0.3">
      <c r="A35" s="16">
        <v>34</v>
      </c>
      <c r="B35" s="16" t="s">
        <v>113</v>
      </c>
      <c r="C35" s="16" t="s">
        <v>52</v>
      </c>
      <c r="D35" s="16">
        <f>COUNTIF(Orders!$C$2:$C$201,A35)</f>
        <v>1</v>
      </c>
      <c r="E35" s="17">
        <f>SUMIF(Orders!$C$2:$C$201,A35,Orders!$D$2:$D$201)</f>
        <v>149000</v>
      </c>
      <c r="F35" s="16" t="str">
        <f t="shared" si="1"/>
        <v>One-time buyer</v>
      </c>
    </row>
    <row r="36" spans="1:6" x14ac:dyDescent="0.3">
      <c r="A36" s="16">
        <v>35</v>
      </c>
      <c r="B36" s="16" t="s">
        <v>114</v>
      </c>
      <c r="C36" s="16" t="s">
        <v>49</v>
      </c>
      <c r="D36" s="16">
        <f>COUNTIF(Orders!$C$2:$C$201,A36)</f>
        <v>2</v>
      </c>
      <c r="E36" s="17">
        <f>SUMIF(Orders!$C$2:$C$201,A36,Orders!$D$2:$D$201)</f>
        <v>463000</v>
      </c>
      <c r="F36" s="16" t="str">
        <f t="shared" si="1"/>
        <v>Occasional shopper</v>
      </c>
    </row>
    <row r="37" spans="1:6" x14ac:dyDescent="0.3">
      <c r="A37" s="16">
        <v>36</v>
      </c>
      <c r="B37" s="16" t="s">
        <v>115</v>
      </c>
      <c r="C37" s="16" t="s">
        <v>50</v>
      </c>
      <c r="D37" s="16">
        <f>COUNTIF(Orders!$C$2:$C$201,A37)</f>
        <v>2</v>
      </c>
      <c r="E37" s="17">
        <f>SUMIF(Orders!$C$2:$C$201,A37,Orders!$D$2:$D$201)</f>
        <v>373000</v>
      </c>
      <c r="F37" s="16" t="str">
        <f t="shared" si="1"/>
        <v>Occasional shopper</v>
      </c>
    </row>
    <row r="38" spans="1:6" x14ac:dyDescent="0.3">
      <c r="A38" s="16">
        <v>37</v>
      </c>
      <c r="B38" s="16" t="s">
        <v>116</v>
      </c>
      <c r="C38" s="16" t="s">
        <v>52</v>
      </c>
      <c r="D38" s="16">
        <f>COUNTIF(Orders!$C$2:$C$201,A38)</f>
        <v>3</v>
      </c>
      <c r="E38" s="17">
        <f>SUMIF(Orders!$C$2:$C$201,A38,Orders!$D$2:$D$201)</f>
        <v>192000</v>
      </c>
      <c r="F38" s="16" t="str">
        <f t="shared" si="1"/>
        <v>Occasional shopper</v>
      </c>
    </row>
    <row r="39" spans="1:6" x14ac:dyDescent="0.3">
      <c r="A39" s="16">
        <v>38</v>
      </c>
      <c r="B39" s="16" t="s">
        <v>117</v>
      </c>
      <c r="C39" s="16" t="s">
        <v>55</v>
      </c>
      <c r="D39" s="16">
        <f>COUNTIF(Orders!$C$2:$C$201,A39)</f>
        <v>3</v>
      </c>
      <c r="E39" s="17">
        <f>SUMIF(Orders!$C$2:$C$201,A39,Orders!$D$2:$D$201)</f>
        <v>427000</v>
      </c>
      <c r="F39" s="16" t="str">
        <f t="shared" si="1"/>
        <v>Occasional shopper</v>
      </c>
    </row>
    <row r="40" spans="1:6" x14ac:dyDescent="0.3">
      <c r="A40" s="16">
        <v>39</v>
      </c>
      <c r="B40" s="16" t="s">
        <v>118</v>
      </c>
      <c r="C40" s="16" t="s">
        <v>54</v>
      </c>
      <c r="D40" s="16">
        <f>COUNTIF(Orders!$C$2:$C$201,A40)</f>
        <v>2</v>
      </c>
      <c r="E40" s="17">
        <f>SUMIF(Orders!$C$2:$C$201,A40,Orders!$D$2:$D$201)</f>
        <v>113000</v>
      </c>
      <c r="F40" s="16" t="str">
        <f t="shared" si="1"/>
        <v>Occasional shopper</v>
      </c>
    </row>
    <row r="41" spans="1:6" x14ac:dyDescent="0.3">
      <c r="A41" s="16">
        <v>40</v>
      </c>
      <c r="B41" s="16" t="s">
        <v>119</v>
      </c>
      <c r="C41" s="16" t="s">
        <v>52</v>
      </c>
      <c r="D41" s="16">
        <f>COUNTIF(Orders!$C$2:$C$201,A41)</f>
        <v>2</v>
      </c>
      <c r="E41" s="17">
        <f>SUMIF(Orders!$C$2:$C$201,A41,Orders!$D$2:$D$201)</f>
        <v>181000</v>
      </c>
      <c r="F41" s="16" t="str">
        <f t="shared" si="1"/>
        <v>Occasional shopper</v>
      </c>
    </row>
    <row r="42" spans="1:6" x14ac:dyDescent="0.3">
      <c r="A42" s="16">
        <v>41</v>
      </c>
      <c r="B42" s="16" t="s">
        <v>120</v>
      </c>
      <c r="C42" s="16" t="s">
        <v>56</v>
      </c>
      <c r="D42" s="16">
        <f>COUNTIF(Orders!$C$2:$C$201,A42)</f>
        <v>4</v>
      </c>
      <c r="E42" s="17">
        <f>SUMIF(Orders!$C$2:$C$201,A42,Orders!$D$2:$D$201)</f>
        <v>558000</v>
      </c>
      <c r="F42" s="16" t="str">
        <f t="shared" si="1"/>
        <v>Occasional shopper</v>
      </c>
    </row>
    <row r="43" spans="1:6" x14ac:dyDescent="0.3">
      <c r="A43" s="16">
        <v>42</v>
      </c>
      <c r="B43" s="16" t="s">
        <v>121</v>
      </c>
      <c r="C43" s="16" t="s">
        <v>51</v>
      </c>
      <c r="D43" s="16">
        <f>COUNTIF(Orders!$C$2:$C$201,A43)</f>
        <v>1</v>
      </c>
      <c r="E43" s="17">
        <f>SUMIF(Orders!$C$2:$C$201,A43,Orders!$D$2:$D$201)</f>
        <v>144000</v>
      </c>
      <c r="F43" s="16" t="str">
        <f t="shared" si="1"/>
        <v>One-time buyer</v>
      </c>
    </row>
    <row r="44" spans="1:6" x14ac:dyDescent="0.3">
      <c r="A44" s="16">
        <v>43</v>
      </c>
      <c r="B44" s="16" t="s">
        <v>122</v>
      </c>
      <c r="C44" s="16" t="s">
        <v>54</v>
      </c>
      <c r="D44" s="16">
        <f>COUNTIF(Orders!$C$2:$C$201,A44)</f>
        <v>1</v>
      </c>
      <c r="E44" s="17">
        <f>SUMIF(Orders!$C$2:$C$201,A44,Orders!$D$2:$D$201)</f>
        <v>40000</v>
      </c>
      <c r="F44" s="16" t="str">
        <f t="shared" si="1"/>
        <v>One-time buyer</v>
      </c>
    </row>
    <row r="45" spans="1:6" x14ac:dyDescent="0.3">
      <c r="A45" s="16">
        <v>44</v>
      </c>
      <c r="B45" s="16" t="s">
        <v>123</v>
      </c>
      <c r="C45" s="16" t="s">
        <v>56</v>
      </c>
      <c r="D45" s="16">
        <f>COUNTIF(Orders!$C$2:$C$201,A45)</f>
        <v>1</v>
      </c>
      <c r="E45" s="17">
        <f>SUMIF(Orders!$C$2:$C$201,A45,Orders!$D$2:$D$201)</f>
        <v>35000</v>
      </c>
      <c r="F45" s="16" t="str">
        <f t="shared" si="1"/>
        <v>One-time buyer</v>
      </c>
    </row>
    <row r="46" spans="1:6" x14ac:dyDescent="0.3">
      <c r="A46" s="16">
        <v>45</v>
      </c>
      <c r="B46" s="16" t="s">
        <v>124</v>
      </c>
      <c r="C46" s="16" t="s">
        <v>50</v>
      </c>
      <c r="D46" s="16">
        <f>COUNTIF(Orders!$C$2:$C$201,A46)</f>
        <v>2</v>
      </c>
      <c r="E46" s="17">
        <f>SUMIF(Orders!$C$2:$C$201,A46,Orders!$D$2:$D$201)</f>
        <v>115000</v>
      </c>
      <c r="F46" s="16" t="str">
        <f t="shared" si="1"/>
        <v>Occasional shopper</v>
      </c>
    </row>
    <row r="47" spans="1:6" x14ac:dyDescent="0.3">
      <c r="A47" s="16">
        <v>46</v>
      </c>
      <c r="B47" s="16" t="s">
        <v>125</v>
      </c>
      <c r="C47" s="16" t="s">
        <v>52</v>
      </c>
      <c r="D47" s="16">
        <f>COUNTIF(Orders!$C$2:$C$201,A47)</f>
        <v>1</v>
      </c>
      <c r="E47" s="17">
        <f>SUMIF(Orders!$C$2:$C$201,A47,Orders!$D$2:$D$201)</f>
        <v>260000</v>
      </c>
      <c r="F47" s="16" t="str">
        <f t="shared" si="1"/>
        <v>One-time buyer</v>
      </c>
    </row>
    <row r="48" spans="1:6" x14ac:dyDescent="0.3">
      <c r="A48" s="16">
        <v>47</v>
      </c>
      <c r="B48" s="16" t="s">
        <v>126</v>
      </c>
      <c r="C48" s="16" t="s">
        <v>52</v>
      </c>
      <c r="D48" s="16">
        <f>COUNTIF(Orders!$C$2:$C$201,A48)</f>
        <v>1</v>
      </c>
      <c r="E48" s="17">
        <f>SUMIF(Orders!$C$2:$C$201,A48,Orders!$D$2:$D$201)</f>
        <v>33000</v>
      </c>
      <c r="F48" s="16" t="str">
        <f t="shared" si="1"/>
        <v>One-time buyer</v>
      </c>
    </row>
    <row r="49" spans="1:6" x14ac:dyDescent="0.3">
      <c r="A49" s="16">
        <v>48</v>
      </c>
      <c r="B49" s="16" t="s">
        <v>127</v>
      </c>
      <c r="C49" s="16" t="s">
        <v>51</v>
      </c>
      <c r="D49" s="16">
        <f>COUNTIF(Orders!$C$2:$C$201,A49)</f>
        <v>2</v>
      </c>
      <c r="E49" s="17">
        <f>SUMIF(Orders!$C$2:$C$201,A49,Orders!$D$2:$D$201)</f>
        <v>124000</v>
      </c>
      <c r="F49" s="16" t="str">
        <f t="shared" si="1"/>
        <v>Occasional shopper</v>
      </c>
    </row>
    <row r="50" spans="1:6" x14ac:dyDescent="0.3">
      <c r="A50" s="16">
        <v>49</v>
      </c>
      <c r="B50" s="16" t="s">
        <v>128</v>
      </c>
      <c r="C50" s="16" t="s">
        <v>57</v>
      </c>
      <c r="D50" s="16">
        <f>COUNTIF(Orders!$C$2:$C$201,A50)</f>
        <v>2</v>
      </c>
      <c r="E50" s="17">
        <f>SUMIF(Orders!$C$2:$C$201,A50,Orders!$D$2:$D$201)</f>
        <v>206000</v>
      </c>
      <c r="F50" s="16" t="str">
        <f t="shared" si="1"/>
        <v>Occasional shopper</v>
      </c>
    </row>
    <row r="51" spans="1:6" x14ac:dyDescent="0.3">
      <c r="A51" s="16">
        <v>50</v>
      </c>
      <c r="B51" s="16" t="s">
        <v>129</v>
      </c>
      <c r="C51" s="16" t="s">
        <v>55</v>
      </c>
      <c r="D51" s="16">
        <f>COUNTIF(Orders!$C$2:$C$201,A51)</f>
        <v>1</v>
      </c>
      <c r="E51" s="17">
        <f>SUMIF(Orders!$C$2:$C$201,A51,Orders!$D$2:$D$201)</f>
        <v>124000</v>
      </c>
      <c r="F51" s="16" t="str">
        <f t="shared" si="1"/>
        <v>One-time buyer</v>
      </c>
    </row>
    <row r="52" spans="1:6" x14ac:dyDescent="0.3">
      <c r="A52" s="16">
        <v>51</v>
      </c>
      <c r="B52" s="16" t="s">
        <v>130</v>
      </c>
      <c r="C52" s="16" t="s">
        <v>50</v>
      </c>
      <c r="D52" s="16">
        <f>COUNTIF(Orders!$C$2:$C$201,A52)</f>
        <v>5</v>
      </c>
      <c r="E52" s="17">
        <f>SUMIF(Orders!$C$2:$C$201,A52,Orders!$D$2:$D$201)</f>
        <v>713000</v>
      </c>
      <c r="F52" s="16" t="str">
        <f t="shared" si="1"/>
        <v>Regular customer</v>
      </c>
    </row>
    <row r="53" spans="1:6" x14ac:dyDescent="0.3">
      <c r="A53" s="16">
        <v>52</v>
      </c>
      <c r="B53" s="16" t="s">
        <v>131</v>
      </c>
      <c r="C53" s="16" t="s">
        <v>53</v>
      </c>
      <c r="D53" s="16">
        <f>COUNTIF(Orders!$C$2:$C$201,A53)</f>
        <v>3</v>
      </c>
      <c r="E53" s="17">
        <f>SUMIF(Orders!$C$2:$C$201,A53,Orders!$D$2:$D$201)</f>
        <v>218000</v>
      </c>
      <c r="F53" s="16" t="str">
        <f t="shared" si="1"/>
        <v>Occasional shopper</v>
      </c>
    </row>
    <row r="54" spans="1:6" x14ac:dyDescent="0.3">
      <c r="A54" s="16">
        <v>53</v>
      </c>
      <c r="B54" s="16" t="s">
        <v>132</v>
      </c>
      <c r="C54" s="16" t="s">
        <v>55</v>
      </c>
      <c r="D54" s="16">
        <f>COUNTIF(Orders!$C$2:$C$201,A54)</f>
        <v>1</v>
      </c>
      <c r="E54" s="17">
        <f>SUMIF(Orders!$C$2:$C$201,A54,Orders!$D$2:$D$201)</f>
        <v>14000</v>
      </c>
      <c r="F54" s="16" t="str">
        <f t="shared" si="1"/>
        <v>One-time buyer</v>
      </c>
    </row>
    <row r="55" spans="1:6" x14ac:dyDescent="0.3">
      <c r="A55" s="16">
        <v>54</v>
      </c>
      <c r="B55" s="16" t="s">
        <v>133</v>
      </c>
      <c r="C55" s="16" t="s">
        <v>52</v>
      </c>
      <c r="D55" s="16">
        <f>COUNTIF(Orders!$C$2:$C$201,A55)</f>
        <v>3</v>
      </c>
      <c r="E55" s="17">
        <f>SUMIF(Orders!$C$2:$C$201,A55,Orders!$D$2:$D$201)</f>
        <v>207000</v>
      </c>
      <c r="F55" s="16" t="str">
        <f t="shared" si="1"/>
        <v>Occasional shopper</v>
      </c>
    </row>
    <row r="56" spans="1:6" x14ac:dyDescent="0.3">
      <c r="A56" s="16">
        <v>55</v>
      </c>
      <c r="B56" s="16" t="s">
        <v>134</v>
      </c>
      <c r="C56" s="16" t="s">
        <v>55</v>
      </c>
      <c r="D56" s="16">
        <f>COUNTIF(Orders!$C$2:$C$201,A56)</f>
        <v>0</v>
      </c>
      <c r="E56" s="17">
        <f>SUMIF(Orders!$C$2:$C$201,A56,Orders!$D$2:$D$201)</f>
        <v>0</v>
      </c>
      <c r="F56" s="16" t="str">
        <f t="shared" si="1"/>
        <v>Never ordered</v>
      </c>
    </row>
    <row r="57" spans="1:6" x14ac:dyDescent="0.3">
      <c r="A57" s="16">
        <v>56</v>
      </c>
      <c r="B57" s="16" t="s">
        <v>135</v>
      </c>
      <c r="C57" s="16" t="s">
        <v>57</v>
      </c>
      <c r="D57" s="16">
        <f>COUNTIF(Orders!$C$2:$C$201,A57)</f>
        <v>0</v>
      </c>
      <c r="E57" s="17">
        <f>SUMIF(Orders!$C$2:$C$201,A57,Orders!$D$2:$D$201)</f>
        <v>0</v>
      </c>
      <c r="F57" s="16" t="str">
        <f t="shared" si="1"/>
        <v>Never ordered</v>
      </c>
    </row>
    <row r="58" spans="1:6" x14ac:dyDescent="0.3">
      <c r="A58" s="16">
        <v>57</v>
      </c>
      <c r="B58" s="16" t="s">
        <v>136</v>
      </c>
      <c r="C58" s="16" t="s">
        <v>53</v>
      </c>
      <c r="D58" s="16">
        <f>COUNTIF(Orders!$C$2:$C$201,A58)</f>
        <v>8</v>
      </c>
      <c r="E58" s="17">
        <f>SUMIF(Orders!$C$2:$C$201,A58,Orders!$D$2:$D$201)</f>
        <v>594000</v>
      </c>
      <c r="F58" s="16" t="str">
        <f t="shared" si="1"/>
        <v>Regular customer</v>
      </c>
    </row>
    <row r="59" spans="1:6" x14ac:dyDescent="0.3">
      <c r="A59" s="16">
        <v>58</v>
      </c>
      <c r="B59" s="16" t="s">
        <v>137</v>
      </c>
      <c r="C59" s="16" t="s">
        <v>52</v>
      </c>
      <c r="D59" s="16">
        <f>COUNTIF(Orders!$C$2:$C$201,A59)</f>
        <v>2</v>
      </c>
      <c r="E59" s="17">
        <f>SUMIF(Orders!$C$2:$C$201,A59,Orders!$D$2:$D$201)</f>
        <v>104000</v>
      </c>
      <c r="F59" s="16" t="str">
        <f t="shared" si="1"/>
        <v>Occasional shopper</v>
      </c>
    </row>
    <row r="60" spans="1:6" x14ac:dyDescent="0.3">
      <c r="A60" s="16">
        <v>59</v>
      </c>
      <c r="B60" s="16" t="s">
        <v>138</v>
      </c>
      <c r="C60" s="16" t="s">
        <v>54</v>
      </c>
      <c r="D60" s="16">
        <f>COUNTIF(Orders!$C$2:$C$201,A60)</f>
        <v>2</v>
      </c>
      <c r="E60" s="17">
        <f>SUMIF(Orders!$C$2:$C$201,A60,Orders!$D$2:$D$201)</f>
        <v>444000</v>
      </c>
      <c r="F60" s="16" t="str">
        <f t="shared" si="1"/>
        <v>Occasional shopper</v>
      </c>
    </row>
    <row r="61" spans="1:6" x14ac:dyDescent="0.3">
      <c r="A61" s="16">
        <v>60</v>
      </c>
      <c r="B61" s="16" t="s">
        <v>139</v>
      </c>
      <c r="C61" s="16" t="s">
        <v>56</v>
      </c>
      <c r="D61" s="16">
        <f>COUNTIF(Orders!$C$2:$C$201,A61)</f>
        <v>2</v>
      </c>
      <c r="E61" s="17">
        <f>SUMIF(Orders!$C$2:$C$201,A61,Orders!$D$2:$D$201)</f>
        <v>172000</v>
      </c>
      <c r="F61" s="16" t="str">
        <f t="shared" si="1"/>
        <v>Occasional shopper</v>
      </c>
    </row>
    <row r="62" spans="1:6" x14ac:dyDescent="0.3">
      <c r="A62" s="16">
        <v>61</v>
      </c>
      <c r="B62" s="16" t="s">
        <v>140</v>
      </c>
      <c r="C62" s="16" t="s">
        <v>53</v>
      </c>
      <c r="D62" s="16">
        <f>COUNTIF(Orders!$C$2:$C$201,A62)</f>
        <v>5</v>
      </c>
      <c r="E62" s="17">
        <f>SUMIF(Orders!$C$2:$C$201,A62,Orders!$D$2:$D$201)</f>
        <v>427000</v>
      </c>
      <c r="F62" s="16" t="str">
        <f t="shared" si="1"/>
        <v>Regular customer</v>
      </c>
    </row>
    <row r="63" spans="1:6" x14ac:dyDescent="0.3">
      <c r="A63" s="16">
        <v>62</v>
      </c>
      <c r="B63" s="16" t="s">
        <v>141</v>
      </c>
      <c r="C63" s="16" t="s">
        <v>52</v>
      </c>
      <c r="D63" s="16">
        <f>COUNTIF(Orders!$C$2:$C$201,A63)</f>
        <v>0</v>
      </c>
      <c r="E63" s="17">
        <f>SUMIF(Orders!$C$2:$C$201,A63,Orders!$D$2:$D$201)</f>
        <v>0</v>
      </c>
      <c r="F63" s="16" t="str">
        <f t="shared" si="1"/>
        <v>Never ordered</v>
      </c>
    </row>
    <row r="64" spans="1:6" x14ac:dyDescent="0.3">
      <c r="A64" s="16">
        <v>63</v>
      </c>
      <c r="B64" s="16" t="s">
        <v>142</v>
      </c>
      <c r="C64" s="16" t="s">
        <v>54</v>
      </c>
      <c r="D64" s="16">
        <f>COUNTIF(Orders!$C$2:$C$201,A64)</f>
        <v>3</v>
      </c>
      <c r="E64" s="17">
        <f>SUMIF(Orders!$C$2:$C$201,A64,Orders!$D$2:$D$201)</f>
        <v>301000</v>
      </c>
      <c r="F64" s="16" t="str">
        <f t="shared" si="1"/>
        <v>Occasional shopper</v>
      </c>
    </row>
    <row r="65" spans="1:6" x14ac:dyDescent="0.3">
      <c r="A65" s="16">
        <v>64</v>
      </c>
      <c r="B65" s="16" t="s">
        <v>143</v>
      </c>
      <c r="C65" s="16" t="s">
        <v>49</v>
      </c>
      <c r="D65" s="16">
        <f>COUNTIF(Orders!$C$2:$C$201,A65)</f>
        <v>1</v>
      </c>
      <c r="E65" s="17">
        <f>SUMIF(Orders!$C$2:$C$201,A65,Orders!$D$2:$D$201)</f>
        <v>224000</v>
      </c>
      <c r="F65" s="16" t="str">
        <f t="shared" si="1"/>
        <v>One-time buyer</v>
      </c>
    </row>
    <row r="66" spans="1:6" x14ac:dyDescent="0.3">
      <c r="A66" s="16">
        <v>65</v>
      </c>
      <c r="B66" s="16" t="s">
        <v>144</v>
      </c>
      <c r="C66" s="16" t="s">
        <v>53</v>
      </c>
      <c r="D66" s="16">
        <f>COUNTIF(Orders!$C$2:$C$201,A66)</f>
        <v>0</v>
      </c>
      <c r="E66" s="17">
        <f>SUMIF(Orders!$C$2:$C$201,A66,Orders!$D$2:$D$201)</f>
        <v>0</v>
      </c>
      <c r="F66" s="16" t="str">
        <f t="shared" ref="F66:F101" si="2">IF(D66=0,"Never ordered",IF(D66=1,"One-time buyer",IF(D66&lt;=4,"Occasional shopper","Regular customer")))</f>
        <v>Never ordered</v>
      </c>
    </row>
    <row r="67" spans="1:6" x14ac:dyDescent="0.3">
      <c r="A67" s="16">
        <v>66</v>
      </c>
      <c r="B67" s="16" t="s">
        <v>145</v>
      </c>
      <c r="C67" s="16" t="s">
        <v>52</v>
      </c>
      <c r="D67" s="16">
        <f>COUNTIF(Orders!$C$2:$C$201,A67)</f>
        <v>2</v>
      </c>
      <c r="E67" s="17">
        <f>SUMIF(Orders!$C$2:$C$201,A67,Orders!$D$2:$D$201)</f>
        <v>83000</v>
      </c>
      <c r="F67" s="16" t="str">
        <f t="shared" si="2"/>
        <v>Occasional shopper</v>
      </c>
    </row>
    <row r="68" spans="1:6" x14ac:dyDescent="0.3">
      <c r="A68" s="16">
        <v>67</v>
      </c>
      <c r="B68" s="16" t="s">
        <v>146</v>
      </c>
      <c r="C68" s="16" t="s">
        <v>50</v>
      </c>
      <c r="D68" s="16">
        <f>COUNTIF(Orders!$C$2:$C$201,A68)</f>
        <v>2</v>
      </c>
      <c r="E68" s="17">
        <f>SUMIF(Orders!$C$2:$C$201,A68,Orders!$D$2:$D$201)</f>
        <v>192000</v>
      </c>
      <c r="F68" s="16" t="str">
        <f t="shared" si="2"/>
        <v>Occasional shopper</v>
      </c>
    </row>
    <row r="69" spans="1:6" x14ac:dyDescent="0.3">
      <c r="A69" s="16">
        <v>68</v>
      </c>
      <c r="B69" s="16" t="s">
        <v>147</v>
      </c>
      <c r="C69" s="16" t="s">
        <v>49</v>
      </c>
      <c r="D69" s="16">
        <f>COUNTIF(Orders!$C$2:$C$201,A69)</f>
        <v>5</v>
      </c>
      <c r="E69" s="17">
        <f>SUMIF(Orders!$C$2:$C$201,A69,Orders!$D$2:$D$201)</f>
        <v>290000</v>
      </c>
      <c r="F69" s="16" t="str">
        <f t="shared" si="2"/>
        <v>Regular customer</v>
      </c>
    </row>
    <row r="70" spans="1:6" x14ac:dyDescent="0.3">
      <c r="A70" s="16">
        <v>69</v>
      </c>
      <c r="B70" s="16" t="s">
        <v>148</v>
      </c>
      <c r="C70" s="16" t="s">
        <v>53</v>
      </c>
      <c r="D70" s="16">
        <f>COUNTIF(Orders!$C$2:$C$201,A70)</f>
        <v>1</v>
      </c>
      <c r="E70" s="17">
        <f>SUMIF(Orders!$C$2:$C$201,A70,Orders!$D$2:$D$201)</f>
        <v>23000</v>
      </c>
      <c r="F70" s="16" t="str">
        <f t="shared" si="2"/>
        <v>One-time buyer</v>
      </c>
    </row>
    <row r="71" spans="1:6" x14ac:dyDescent="0.3">
      <c r="A71" s="16">
        <v>70</v>
      </c>
      <c r="B71" s="16" t="s">
        <v>149</v>
      </c>
      <c r="C71" s="16" t="s">
        <v>52</v>
      </c>
      <c r="D71" s="16">
        <f>COUNTIF(Orders!$C$2:$C$201,A71)</f>
        <v>1</v>
      </c>
      <c r="E71" s="17">
        <f>SUMIF(Orders!$C$2:$C$201,A71,Orders!$D$2:$D$201)</f>
        <v>10000</v>
      </c>
      <c r="F71" s="16" t="str">
        <f t="shared" si="2"/>
        <v>One-time buyer</v>
      </c>
    </row>
    <row r="72" spans="1:6" x14ac:dyDescent="0.3">
      <c r="A72" s="16">
        <v>71</v>
      </c>
      <c r="B72" s="16" t="s">
        <v>150</v>
      </c>
      <c r="C72" s="16" t="s">
        <v>54</v>
      </c>
      <c r="D72" s="16">
        <f>COUNTIF(Orders!$C$2:$C$201,A72)</f>
        <v>1</v>
      </c>
      <c r="E72" s="17">
        <f>SUMIF(Orders!$C$2:$C$201,A72,Orders!$D$2:$D$201)</f>
        <v>128000</v>
      </c>
      <c r="F72" s="16" t="str">
        <f t="shared" si="2"/>
        <v>One-time buyer</v>
      </c>
    </row>
    <row r="73" spans="1:6" x14ac:dyDescent="0.3">
      <c r="A73" s="16">
        <v>72</v>
      </c>
      <c r="B73" s="16" t="s">
        <v>151</v>
      </c>
      <c r="C73" s="16" t="s">
        <v>56</v>
      </c>
      <c r="D73" s="16">
        <f>COUNTIF(Orders!$C$2:$C$201,A73)</f>
        <v>3</v>
      </c>
      <c r="E73" s="17">
        <f>SUMIF(Orders!$C$2:$C$201,A73,Orders!$D$2:$D$201)</f>
        <v>225000</v>
      </c>
      <c r="F73" s="16" t="str">
        <f t="shared" si="2"/>
        <v>Occasional shopper</v>
      </c>
    </row>
    <row r="74" spans="1:6" x14ac:dyDescent="0.3">
      <c r="A74" s="16">
        <v>73</v>
      </c>
      <c r="B74" s="16" t="s">
        <v>152</v>
      </c>
      <c r="C74" s="16" t="s">
        <v>49</v>
      </c>
      <c r="D74" s="16">
        <f>COUNTIF(Orders!$C$2:$C$201,A74)</f>
        <v>1</v>
      </c>
      <c r="E74" s="17">
        <f>SUMIF(Orders!$C$2:$C$201,A74,Orders!$D$2:$D$201)</f>
        <v>30000</v>
      </c>
      <c r="F74" s="16" t="str">
        <f t="shared" si="2"/>
        <v>One-time buyer</v>
      </c>
    </row>
    <row r="75" spans="1:6" x14ac:dyDescent="0.3">
      <c r="A75" s="16">
        <v>74</v>
      </c>
      <c r="B75" s="16" t="s">
        <v>153</v>
      </c>
      <c r="C75" s="16" t="s">
        <v>57</v>
      </c>
      <c r="D75" s="16">
        <f>COUNTIF(Orders!$C$2:$C$201,A75)</f>
        <v>0</v>
      </c>
      <c r="E75" s="17">
        <f>SUMIF(Orders!$C$2:$C$201,A75,Orders!$D$2:$D$201)</f>
        <v>0</v>
      </c>
      <c r="F75" s="16" t="str">
        <f t="shared" si="2"/>
        <v>Never ordered</v>
      </c>
    </row>
    <row r="76" spans="1:6" x14ac:dyDescent="0.3">
      <c r="A76" s="16">
        <v>75</v>
      </c>
      <c r="B76" s="16" t="s">
        <v>154</v>
      </c>
      <c r="C76" s="16" t="s">
        <v>52</v>
      </c>
      <c r="D76" s="16">
        <f>COUNTIF(Orders!$C$2:$C$201,A76)</f>
        <v>5</v>
      </c>
      <c r="E76" s="17">
        <f>SUMIF(Orders!$C$2:$C$201,A76,Orders!$D$2:$D$201)</f>
        <v>179000</v>
      </c>
      <c r="F76" s="16" t="str">
        <f t="shared" si="2"/>
        <v>Regular customer</v>
      </c>
    </row>
    <row r="77" spans="1:6" x14ac:dyDescent="0.3">
      <c r="A77" s="16">
        <v>76</v>
      </c>
      <c r="B77" s="16" t="s">
        <v>155</v>
      </c>
      <c r="C77" s="16" t="s">
        <v>53</v>
      </c>
      <c r="D77" s="16">
        <f>COUNTIF(Orders!$C$2:$C$201,A77)</f>
        <v>2</v>
      </c>
      <c r="E77" s="17">
        <f>SUMIF(Orders!$C$2:$C$201,A77,Orders!$D$2:$D$201)</f>
        <v>220000</v>
      </c>
      <c r="F77" s="16" t="str">
        <f t="shared" si="2"/>
        <v>Occasional shopper</v>
      </c>
    </row>
    <row r="78" spans="1:6" x14ac:dyDescent="0.3">
      <c r="A78" s="16">
        <v>77</v>
      </c>
      <c r="B78" s="16" t="s">
        <v>156</v>
      </c>
      <c r="C78" s="16" t="s">
        <v>56</v>
      </c>
      <c r="D78" s="16">
        <f>COUNTIF(Orders!$C$2:$C$201,A78)</f>
        <v>0</v>
      </c>
      <c r="E78" s="17">
        <f>SUMIF(Orders!$C$2:$C$201,A78,Orders!$D$2:$D$201)</f>
        <v>0</v>
      </c>
      <c r="F78" s="16" t="str">
        <f t="shared" si="2"/>
        <v>Never ordered</v>
      </c>
    </row>
    <row r="79" spans="1:6" x14ac:dyDescent="0.3">
      <c r="A79" s="16">
        <v>78</v>
      </c>
      <c r="B79" s="16" t="s">
        <v>157</v>
      </c>
      <c r="C79" s="16" t="s">
        <v>49</v>
      </c>
      <c r="D79" s="16">
        <f>COUNTIF(Orders!$C$2:$C$201,A79)</f>
        <v>4</v>
      </c>
      <c r="E79" s="17">
        <f>SUMIF(Orders!$C$2:$C$201,A79,Orders!$D$2:$D$201)</f>
        <v>562000</v>
      </c>
      <c r="F79" s="16" t="str">
        <f t="shared" si="2"/>
        <v>Occasional shopper</v>
      </c>
    </row>
    <row r="80" spans="1:6" x14ac:dyDescent="0.3">
      <c r="A80" s="16">
        <v>79</v>
      </c>
      <c r="B80" s="16" t="s">
        <v>158</v>
      </c>
      <c r="C80" s="16" t="s">
        <v>57</v>
      </c>
      <c r="D80" s="16">
        <f>COUNTIF(Orders!$C$2:$C$201,A80)</f>
        <v>0</v>
      </c>
      <c r="E80" s="17">
        <f>SUMIF(Orders!$C$2:$C$201,A80,Orders!$D$2:$D$201)</f>
        <v>0</v>
      </c>
      <c r="F80" s="16" t="str">
        <f t="shared" si="2"/>
        <v>Never ordered</v>
      </c>
    </row>
    <row r="81" spans="1:6" x14ac:dyDescent="0.3">
      <c r="A81" s="16">
        <v>80</v>
      </c>
      <c r="B81" s="16" t="s">
        <v>159</v>
      </c>
      <c r="C81" s="16" t="s">
        <v>52</v>
      </c>
      <c r="D81" s="16">
        <f>COUNTIF(Orders!$C$2:$C$201,A81)</f>
        <v>1</v>
      </c>
      <c r="E81" s="17">
        <f>SUMIF(Orders!$C$2:$C$201,A81,Orders!$D$2:$D$201)</f>
        <v>15000</v>
      </c>
      <c r="F81" s="16" t="str">
        <f t="shared" si="2"/>
        <v>One-time buyer</v>
      </c>
    </row>
    <row r="82" spans="1:6" x14ac:dyDescent="0.3">
      <c r="A82" s="16">
        <v>81</v>
      </c>
      <c r="B82" s="16" t="s">
        <v>160</v>
      </c>
      <c r="C82" s="16" t="s">
        <v>49</v>
      </c>
      <c r="D82" s="16">
        <f>COUNTIF(Orders!$C$2:$C$201,A82)</f>
        <v>1</v>
      </c>
      <c r="E82" s="17">
        <f>SUMIF(Orders!$C$2:$C$201,A82,Orders!$D$2:$D$201)</f>
        <v>313000</v>
      </c>
      <c r="F82" s="16" t="str">
        <f t="shared" si="2"/>
        <v>One-time buyer</v>
      </c>
    </row>
    <row r="83" spans="1:6" x14ac:dyDescent="0.3">
      <c r="A83" s="16">
        <v>82</v>
      </c>
      <c r="B83" s="16" t="s">
        <v>161</v>
      </c>
      <c r="C83" s="16" t="s">
        <v>58</v>
      </c>
      <c r="D83" s="16">
        <f>COUNTIF(Orders!$C$2:$C$201,A83)</f>
        <v>0</v>
      </c>
      <c r="E83" s="17">
        <f>SUMIF(Orders!$C$2:$C$201,A83,Orders!$D$2:$D$201)</f>
        <v>0</v>
      </c>
      <c r="F83" s="16" t="str">
        <f t="shared" si="2"/>
        <v>Never ordered</v>
      </c>
    </row>
    <row r="84" spans="1:6" x14ac:dyDescent="0.3">
      <c r="A84" s="16">
        <v>83</v>
      </c>
      <c r="B84" s="16" t="s">
        <v>162</v>
      </c>
      <c r="C84" s="16" t="s">
        <v>58</v>
      </c>
      <c r="D84" s="16">
        <f>COUNTIF(Orders!$C$2:$C$201,A84)</f>
        <v>2</v>
      </c>
      <c r="E84" s="17">
        <f>SUMIF(Orders!$C$2:$C$201,A84,Orders!$D$2:$D$201)</f>
        <v>118000</v>
      </c>
      <c r="F84" s="16" t="str">
        <f t="shared" si="2"/>
        <v>Occasional shopper</v>
      </c>
    </row>
    <row r="85" spans="1:6" x14ac:dyDescent="0.3">
      <c r="A85" s="16">
        <v>84</v>
      </c>
      <c r="B85" s="16" t="s">
        <v>163</v>
      </c>
      <c r="C85" s="16" t="s">
        <v>52</v>
      </c>
      <c r="D85" s="16">
        <f>COUNTIF(Orders!$C$2:$C$201,A85)</f>
        <v>5</v>
      </c>
      <c r="E85" s="17">
        <f>SUMIF(Orders!$C$2:$C$201,A85,Orders!$D$2:$D$201)</f>
        <v>592000</v>
      </c>
      <c r="F85" s="16" t="str">
        <f t="shared" si="2"/>
        <v>Regular customer</v>
      </c>
    </row>
    <row r="86" spans="1:6" x14ac:dyDescent="0.3">
      <c r="A86" s="16">
        <v>85</v>
      </c>
      <c r="B86" s="16" t="s">
        <v>164</v>
      </c>
      <c r="C86" s="16" t="s">
        <v>56</v>
      </c>
      <c r="D86" s="16">
        <f>COUNTIF(Orders!$C$2:$C$201,A86)</f>
        <v>3</v>
      </c>
      <c r="E86" s="17">
        <f>SUMIF(Orders!$C$2:$C$201,A86,Orders!$D$2:$D$201)</f>
        <v>315000</v>
      </c>
      <c r="F86" s="16" t="str">
        <f t="shared" si="2"/>
        <v>Occasional shopper</v>
      </c>
    </row>
    <row r="87" spans="1:6" x14ac:dyDescent="0.3">
      <c r="A87" s="16">
        <v>86</v>
      </c>
      <c r="B87" s="16" t="s">
        <v>165</v>
      </c>
      <c r="C87" s="16" t="s">
        <v>51</v>
      </c>
      <c r="D87" s="16">
        <f>COUNTIF(Orders!$C$2:$C$201,A87)</f>
        <v>3</v>
      </c>
      <c r="E87" s="17">
        <f>SUMIF(Orders!$C$2:$C$201,A87,Orders!$D$2:$D$201)</f>
        <v>69000</v>
      </c>
      <c r="F87" s="16" t="str">
        <f t="shared" si="2"/>
        <v>Occasional shopper</v>
      </c>
    </row>
    <row r="88" spans="1:6" x14ac:dyDescent="0.3">
      <c r="A88" s="16">
        <v>87</v>
      </c>
      <c r="B88" s="16" t="s">
        <v>166</v>
      </c>
      <c r="C88" s="16" t="s">
        <v>49</v>
      </c>
      <c r="D88" s="16">
        <f>COUNTIF(Orders!$C$2:$C$201,A88)</f>
        <v>3</v>
      </c>
      <c r="E88" s="17">
        <f>SUMIF(Orders!$C$2:$C$201,A88,Orders!$D$2:$D$201)</f>
        <v>198000</v>
      </c>
      <c r="F88" s="16" t="str">
        <f t="shared" si="2"/>
        <v>Occasional shopper</v>
      </c>
    </row>
    <row r="89" spans="1:6" x14ac:dyDescent="0.3">
      <c r="A89" s="16">
        <v>88</v>
      </c>
      <c r="B89" s="16" t="s">
        <v>167</v>
      </c>
      <c r="C89" s="16" t="s">
        <v>49</v>
      </c>
      <c r="D89" s="16">
        <f>COUNTIF(Orders!$C$2:$C$201,A89)</f>
        <v>4</v>
      </c>
      <c r="E89" s="17">
        <f>SUMIF(Orders!$C$2:$C$201,A89,Orders!$D$2:$D$201)</f>
        <v>336000</v>
      </c>
      <c r="F89" s="16" t="str">
        <f t="shared" si="2"/>
        <v>Occasional shopper</v>
      </c>
    </row>
    <row r="90" spans="1:6" x14ac:dyDescent="0.3">
      <c r="A90" s="16">
        <v>89</v>
      </c>
      <c r="B90" s="16" t="s">
        <v>168</v>
      </c>
      <c r="C90" s="16" t="s">
        <v>51</v>
      </c>
      <c r="D90" s="16">
        <f>COUNTIF(Orders!$C$2:$C$201,A90)</f>
        <v>0</v>
      </c>
      <c r="E90" s="17">
        <f>SUMIF(Orders!$C$2:$C$201,A90,Orders!$D$2:$D$201)</f>
        <v>0</v>
      </c>
      <c r="F90" s="16" t="str">
        <f t="shared" si="2"/>
        <v>Never ordered</v>
      </c>
    </row>
    <row r="91" spans="1:6" x14ac:dyDescent="0.3">
      <c r="A91" s="16">
        <v>90</v>
      </c>
      <c r="B91" s="16" t="s">
        <v>169</v>
      </c>
      <c r="C91" s="16" t="s">
        <v>50</v>
      </c>
      <c r="D91" s="16">
        <f>COUNTIF(Orders!$C$2:$C$201,A91)</f>
        <v>2</v>
      </c>
      <c r="E91" s="17">
        <f>SUMIF(Orders!$C$2:$C$201,A91,Orders!$D$2:$D$201)</f>
        <v>180000</v>
      </c>
      <c r="F91" s="16" t="str">
        <f t="shared" si="2"/>
        <v>Occasional shopper</v>
      </c>
    </row>
    <row r="92" spans="1:6" x14ac:dyDescent="0.3">
      <c r="A92" s="16">
        <v>91</v>
      </c>
      <c r="B92" s="16" t="s">
        <v>170</v>
      </c>
      <c r="C92" s="16" t="s">
        <v>51</v>
      </c>
      <c r="D92" s="16">
        <f>COUNTIF(Orders!$C$2:$C$201,A92)</f>
        <v>3</v>
      </c>
      <c r="E92" s="17">
        <f>SUMIF(Orders!$C$2:$C$201,A92,Orders!$D$2:$D$201)</f>
        <v>311000</v>
      </c>
      <c r="F92" s="16" t="str">
        <f t="shared" si="2"/>
        <v>Occasional shopper</v>
      </c>
    </row>
    <row r="93" spans="1:6" x14ac:dyDescent="0.3">
      <c r="A93" s="16">
        <v>92</v>
      </c>
      <c r="B93" s="16" t="s">
        <v>171</v>
      </c>
      <c r="C93" s="16" t="s">
        <v>56</v>
      </c>
      <c r="D93" s="16">
        <f>COUNTIF(Orders!$C$2:$C$201,A93)</f>
        <v>3</v>
      </c>
      <c r="E93" s="17">
        <f>SUMIF(Orders!$C$2:$C$201,A93,Orders!$D$2:$D$201)</f>
        <v>272000</v>
      </c>
      <c r="F93" s="16" t="str">
        <f t="shared" si="2"/>
        <v>Occasional shopper</v>
      </c>
    </row>
    <row r="94" spans="1:6" x14ac:dyDescent="0.3">
      <c r="A94" s="16">
        <v>93</v>
      </c>
      <c r="B94" s="16" t="s">
        <v>172</v>
      </c>
      <c r="C94" s="16" t="s">
        <v>57</v>
      </c>
      <c r="D94" s="16">
        <f>COUNTIF(Orders!$C$2:$C$201,A94)</f>
        <v>1</v>
      </c>
      <c r="E94" s="17">
        <f>SUMIF(Orders!$C$2:$C$201,A94,Orders!$D$2:$D$201)</f>
        <v>29000</v>
      </c>
      <c r="F94" s="16" t="str">
        <f t="shared" si="2"/>
        <v>One-time buyer</v>
      </c>
    </row>
    <row r="95" spans="1:6" x14ac:dyDescent="0.3">
      <c r="A95" s="16">
        <v>94</v>
      </c>
      <c r="B95" s="16" t="s">
        <v>173</v>
      </c>
      <c r="C95" s="16" t="s">
        <v>57</v>
      </c>
      <c r="D95" s="16">
        <f>COUNTIF(Orders!$C$2:$C$201,A95)</f>
        <v>2</v>
      </c>
      <c r="E95" s="17">
        <f>SUMIF(Orders!$C$2:$C$201,A95,Orders!$D$2:$D$201)</f>
        <v>72000</v>
      </c>
      <c r="F95" s="16" t="str">
        <f t="shared" si="2"/>
        <v>Occasional shopper</v>
      </c>
    </row>
    <row r="96" spans="1:6" x14ac:dyDescent="0.3">
      <c r="A96" s="16">
        <v>95</v>
      </c>
      <c r="B96" s="16" t="s">
        <v>174</v>
      </c>
      <c r="C96" s="16" t="s">
        <v>55</v>
      </c>
      <c r="D96" s="16">
        <f>COUNTIF(Orders!$C$2:$C$201,A96)</f>
        <v>3</v>
      </c>
      <c r="E96" s="17">
        <f>SUMIF(Orders!$C$2:$C$201,A96,Orders!$D$2:$D$201)</f>
        <v>463000</v>
      </c>
      <c r="F96" s="16" t="str">
        <f t="shared" si="2"/>
        <v>Occasional shopper</v>
      </c>
    </row>
    <row r="97" spans="1:6" x14ac:dyDescent="0.3">
      <c r="A97" s="16">
        <v>96</v>
      </c>
      <c r="B97" s="16" t="s">
        <v>175</v>
      </c>
      <c r="C97" s="16" t="s">
        <v>54</v>
      </c>
      <c r="D97" s="16">
        <f>COUNTIF(Orders!$C$2:$C$201,A97)</f>
        <v>1</v>
      </c>
      <c r="E97" s="17">
        <f>SUMIF(Orders!$C$2:$C$201,A97,Orders!$D$2:$D$201)</f>
        <v>24000</v>
      </c>
      <c r="F97" s="16" t="str">
        <f t="shared" si="2"/>
        <v>One-time buyer</v>
      </c>
    </row>
    <row r="98" spans="1:6" x14ac:dyDescent="0.3">
      <c r="A98" s="16">
        <v>97</v>
      </c>
      <c r="B98" s="16" t="s">
        <v>176</v>
      </c>
      <c r="C98" s="16" t="s">
        <v>55</v>
      </c>
      <c r="D98" s="16">
        <f>COUNTIF(Orders!$C$2:$C$201,A98)</f>
        <v>0</v>
      </c>
      <c r="E98" s="17">
        <f>SUMIF(Orders!$C$2:$C$201,A98,Orders!$D$2:$D$201)</f>
        <v>0</v>
      </c>
      <c r="F98" s="16" t="str">
        <f t="shared" si="2"/>
        <v>Never ordered</v>
      </c>
    </row>
    <row r="99" spans="1:6" x14ac:dyDescent="0.3">
      <c r="A99" s="16">
        <v>98</v>
      </c>
      <c r="B99" s="16" t="s">
        <v>177</v>
      </c>
      <c r="C99" s="16" t="s">
        <v>51</v>
      </c>
      <c r="D99" s="16">
        <f>COUNTIF(Orders!$C$2:$C$201,A99)</f>
        <v>3</v>
      </c>
      <c r="E99" s="17">
        <f>SUMIF(Orders!$C$2:$C$201,A99,Orders!$D$2:$D$201)</f>
        <v>246000</v>
      </c>
      <c r="F99" s="16" t="str">
        <f t="shared" si="2"/>
        <v>Occasional shopper</v>
      </c>
    </row>
    <row r="100" spans="1:6" x14ac:dyDescent="0.3">
      <c r="A100" s="16">
        <v>99</v>
      </c>
      <c r="B100" s="16" t="s">
        <v>178</v>
      </c>
      <c r="C100" s="16" t="s">
        <v>58</v>
      </c>
      <c r="D100" s="16">
        <f>COUNTIF(Orders!$C$2:$C$201,A100)</f>
        <v>2</v>
      </c>
      <c r="E100" s="17">
        <f>SUMIF(Orders!$C$2:$C$201,A100,Orders!$D$2:$D$201)</f>
        <v>269000</v>
      </c>
      <c r="F100" s="16" t="str">
        <f t="shared" si="2"/>
        <v>Occasional shopper</v>
      </c>
    </row>
    <row r="101" spans="1:6" x14ac:dyDescent="0.3">
      <c r="A101" s="16">
        <v>100</v>
      </c>
      <c r="B101" s="16" t="s">
        <v>179</v>
      </c>
      <c r="C101" s="16" t="s">
        <v>54</v>
      </c>
      <c r="D101" s="16">
        <f>COUNTIF(Orders!$C$2:$C$201,A101)</f>
        <v>3</v>
      </c>
      <c r="E101" s="17">
        <f>SUMIF(Orders!$C$2:$C$201,A101,Orders!$D$2:$D$201)</f>
        <v>613000</v>
      </c>
      <c r="F101" s="16" t="str">
        <f t="shared" si="2"/>
        <v>Occasional shopper</v>
      </c>
    </row>
  </sheetData>
  <autoFilter ref="A1:F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4" width="12" customWidth="1"/>
  </cols>
  <sheetData>
    <row r="1" spans="1:4" x14ac:dyDescent="0.3">
      <c r="A1" s="8" t="s">
        <v>180</v>
      </c>
      <c r="B1" s="8" t="s">
        <v>75</v>
      </c>
      <c r="C1" s="8" t="s">
        <v>181</v>
      </c>
      <c r="D1" s="8" t="s">
        <v>182</v>
      </c>
    </row>
    <row r="2" spans="1:4" x14ac:dyDescent="0.3">
      <c r="A2" s="16">
        <v>1</v>
      </c>
      <c r="B2" s="16" t="s">
        <v>40</v>
      </c>
      <c r="C2" s="16" t="s">
        <v>32</v>
      </c>
      <c r="D2" s="17">
        <v>15000</v>
      </c>
    </row>
    <row r="3" spans="1:4" x14ac:dyDescent="0.3">
      <c r="A3" s="16">
        <v>2</v>
      </c>
      <c r="B3" s="16" t="s">
        <v>38</v>
      </c>
      <c r="C3" s="16" t="s">
        <v>32</v>
      </c>
      <c r="D3" s="17">
        <v>60000</v>
      </c>
    </row>
    <row r="4" spans="1:4" x14ac:dyDescent="0.3">
      <c r="A4" s="16">
        <v>3</v>
      </c>
      <c r="B4" s="16" t="s">
        <v>42</v>
      </c>
      <c r="C4" s="16" t="s">
        <v>32</v>
      </c>
      <c r="D4" s="17">
        <v>8000</v>
      </c>
    </row>
    <row r="5" spans="1:4" x14ac:dyDescent="0.3">
      <c r="A5" s="16">
        <v>4</v>
      </c>
      <c r="B5" s="16" t="s">
        <v>41</v>
      </c>
      <c r="C5" s="16" t="s">
        <v>32</v>
      </c>
      <c r="D5" s="17">
        <v>12000</v>
      </c>
    </row>
    <row r="6" spans="1:4" x14ac:dyDescent="0.3">
      <c r="A6" s="16">
        <v>5</v>
      </c>
      <c r="B6" s="16" t="s">
        <v>44</v>
      </c>
      <c r="C6" s="16" t="s">
        <v>34</v>
      </c>
      <c r="D6" s="17">
        <v>5000</v>
      </c>
    </row>
    <row r="7" spans="1:4" x14ac:dyDescent="0.3">
      <c r="A7" s="16">
        <v>6</v>
      </c>
      <c r="B7" s="16" t="s">
        <v>43</v>
      </c>
      <c r="C7" s="16" t="s">
        <v>32</v>
      </c>
      <c r="D7" s="17">
        <v>7000</v>
      </c>
    </row>
    <row r="8" spans="1:4" x14ac:dyDescent="0.3">
      <c r="A8" s="16">
        <v>7</v>
      </c>
      <c r="B8" s="16" t="s">
        <v>39</v>
      </c>
      <c r="C8" s="16" t="s">
        <v>33</v>
      </c>
      <c r="D8" s="17">
        <v>40000</v>
      </c>
    </row>
    <row r="9" spans="1:4" x14ac:dyDescent="0.3">
      <c r="A9" s="16">
        <v>8</v>
      </c>
      <c r="B9" s="16" t="s">
        <v>45</v>
      </c>
      <c r="C9" s="16" t="s">
        <v>34</v>
      </c>
      <c r="D9" s="17">
        <v>3000</v>
      </c>
    </row>
  </sheetData>
  <autoFilter ref="A1:D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5" customWidth="1"/>
    <col min="4" max="4" width="16" customWidth="1"/>
    <col min="5" max="5" width="12" customWidth="1"/>
    <col min="6" max="6" width="13" customWidth="1"/>
  </cols>
  <sheetData>
    <row r="1" spans="1:6" x14ac:dyDescent="0.3">
      <c r="A1" s="8" t="s">
        <v>183</v>
      </c>
      <c r="B1" s="8" t="s">
        <v>184</v>
      </c>
      <c r="C1" s="8" t="s">
        <v>74</v>
      </c>
      <c r="D1" s="8" t="s">
        <v>185</v>
      </c>
      <c r="E1" s="8" t="s">
        <v>76</v>
      </c>
      <c r="F1" s="8" t="s">
        <v>186</v>
      </c>
    </row>
    <row r="2" spans="1:6" x14ac:dyDescent="0.3">
      <c r="A2" s="16">
        <v>1</v>
      </c>
      <c r="B2" s="18">
        <v>45196</v>
      </c>
      <c r="C2" s="16">
        <v>67</v>
      </c>
      <c r="D2" s="17">
        <v>45000</v>
      </c>
      <c r="E2" s="16" t="str">
        <f>INDEX(Customers!$C$2:$C$101,MATCH(C2,Customers!$A$2:$A$101,0))</f>
        <v>Lucknow</v>
      </c>
      <c r="F2" s="16">
        <f t="shared" ref="F2:F33" si="0">YEAR(B2)*100+MONTH(B2)</f>
        <v>202309</v>
      </c>
    </row>
    <row r="3" spans="1:6" x14ac:dyDescent="0.3">
      <c r="A3" s="16">
        <v>2</v>
      </c>
      <c r="B3" s="18">
        <v>45249</v>
      </c>
      <c r="C3" s="16">
        <v>98</v>
      </c>
      <c r="D3" s="17">
        <v>16000</v>
      </c>
      <c r="E3" s="16" t="str">
        <f>INDEX(Customers!$C$2:$C$101,MATCH(C3,Customers!$A$2:$A$101,0))</f>
        <v>Jaipur</v>
      </c>
      <c r="F3" s="16">
        <f t="shared" si="0"/>
        <v>202311</v>
      </c>
    </row>
    <row r="4" spans="1:6" x14ac:dyDescent="0.3">
      <c r="A4" s="16">
        <v>3</v>
      </c>
      <c r="B4" s="18">
        <v>45280</v>
      </c>
      <c r="C4" s="16">
        <v>46</v>
      </c>
      <c r="D4" s="17">
        <v>260000</v>
      </c>
      <c r="E4" s="16" t="str">
        <f>INDEX(Customers!$C$2:$C$101,MATCH(C4,Customers!$A$2:$A$101,0))</f>
        <v>Delhi</v>
      </c>
      <c r="F4" s="16">
        <f t="shared" si="0"/>
        <v>202312</v>
      </c>
    </row>
    <row r="5" spans="1:6" x14ac:dyDescent="0.3">
      <c r="A5" s="16">
        <v>4</v>
      </c>
      <c r="B5" s="18">
        <v>45045</v>
      </c>
      <c r="C5" s="16">
        <v>83</v>
      </c>
      <c r="D5" s="17">
        <v>27000</v>
      </c>
      <c r="E5" s="16" t="str">
        <f>INDEX(Customers!$C$2:$C$101,MATCH(C5,Customers!$A$2:$A$101,0))</f>
        <v>Mumbai</v>
      </c>
      <c r="F5" s="16">
        <f t="shared" si="0"/>
        <v>202304</v>
      </c>
    </row>
    <row r="6" spans="1:6" x14ac:dyDescent="0.3">
      <c r="A6" s="16">
        <v>5</v>
      </c>
      <c r="B6" s="18">
        <v>45021</v>
      </c>
      <c r="C6" s="16">
        <v>99</v>
      </c>
      <c r="D6" s="17">
        <v>221000</v>
      </c>
      <c r="E6" s="16" t="str">
        <f>INDEX(Customers!$C$2:$C$101,MATCH(C6,Customers!$A$2:$A$101,0))</f>
        <v>Mumbai</v>
      </c>
      <c r="F6" s="16">
        <f t="shared" si="0"/>
        <v>202304</v>
      </c>
    </row>
    <row r="7" spans="1:6" x14ac:dyDescent="0.3">
      <c r="A7" s="16">
        <v>6</v>
      </c>
      <c r="B7" s="18">
        <v>45075</v>
      </c>
      <c r="C7" s="16">
        <v>59</v>
      </c>
      <c r="D7" s="17">
        <v>120000</v>
      </c>
      <c r="E7" s="16" t="str">
        <f>INDEX(Customers!$C$2:$C$101,MATCH(C7,Customers!$A$2:$A$101,0))</f>
        <v>Bangalore</v>
      </c>
      <c r="F7" s="16">
        <f t="shared" si="0"/>
        <v>202305</v>
      </c>
    </row>
    <row r="8" spans="1:6" x14ac:dyDescent="0.3">
      <c r="A8" s="16">
        <v>7</v>
      </c>
      <c r="B8" s="18">
        <v>45042</v>
      </c>
      <c r="C8" s="16">
        <v>68</v>
      </c>
      <c r="D8" s="17">
        <v>30000</v>
      </c>
      <c r="E8" s="16" t="str">
        <f>INDEX(Customers!$C$2:$C$101,MATCH(C8,Customers!$A$2:$A$101,0))</f>
        <v>Chennai</v>
      </c>
      <c r="F8" s="16">
        <f t="shared" si="0"/>
        <v>202304</v>
      </c>
    </row>
    <row r="9" spans="1:6" x14ac:dyDescent="0.3">
      <c r="A9" s="16">
        <v>8</v>
      </c>
      <c r="B9" s="18">
        <v>45144</v>
      </c>
      <c r="C9" s="16">
        <v>24</v>
      </c>
      <c r="D9" s="17">
        <v>64000</v>
      </c>
      <c r="E9" s="16" t="str">
        <f>INDEX(Customers!$C$2:$C$101,MATCH(C9,Customers!$A$2:$A$101,0))</f>
        <v>Mumbai</v>
      </c>
      <c r="F9" s="16">
        <f t="shared" si="0"/>
        <v>202308</v>
      </c>
    </row>
    <row r="10" spans="1:6" x14ac:dyDescent="0.3">
      <c r="A10" s="16">
        <v>9</v>
      </c>
      <c r="B10" s="18">
        <v>45277</v>
      </c>
      <c r="C10" s="16">
        <v>61</v>
      </c>
      <c r="D10" s="17">
        <v>250000</v>
      </c>
      <c r="E10" s="16" t="str">
        <f>INDEX(Customers!$C$2:$C$101,MATCH(C10,Customers!$A$2:$A$101,0))</f>
        <v>Kolkata</v>
      </c>
      <c r="F10" s="16">
        <f t="shared" si="0"/>
        <v>202312</v>
      </c>
    </row>
    <row r="11" spans="1:6" x14ac:dyDescent="0.3">
      <c r="A11" s="16">
        <v>10</v>
      </c>
      <c r="B11" s="18">
        <v>45203</v>
      </c>
      <c r="C11" s="16">
        <v>38</v>
      </c>
      <c r="D11" s="17">
        <v>53000</v>
      </c>
      <c r="E11" s="16" t="str">
        <f>INDEX(Customers!$C$2:$C$101,MATCH(C11,Customers!$A$2:$A$101,0))</f>
        <v>Ahmedabad</v>
      </c>
      <c r="F11" s="16">
        <f t="shared" si="0"/>
        <v>202310</v>
      </c>
    </row>
    <row r="12" spans="1:6" x14ac:dyDescent="0.3">
      <c r="A12" s="16">
        <v>11</v>
      </c>
      <c r="B12" s="18">
        <v>45215</v>
      </c>
      <c r="C12" s="16">
        <v>95</v>
      </c>
      <c r="D12" s="17">
        <v>129000</v>
      </c>
      <c r="E12" s="16" t="str">
        <f>INDEX(Customers!$C$2:$C$101,MATCH(C12,Customers!$A$2:$A$101,0))</f>
        <v>Ahmedabad</v>
      </c>
      <c r="F12" s="16">
        <f t="shared" si="0"/>
        <v>202310</v>
      </c>
    </row>
    <row r="13" spans="1:6" x14ac:dyDescent="0.3">
      <c r="A13" s="16">
        <v>12</v>
      </c>
      <c r="B13" s="18">
        <v>45137</v>
      </c>
      <c r="C13" s="16">
        <v>78</v>
      </c>
      <c r="D13" s="17">
        <v>15000</v>
      </c>
      <c r="E13" s="16" t="str">
        <f>INDEX(Customers!$C$2:$C$101,MATCH(C13,Customers!$A$2:$A$101,0))</f>
        <v>Chennai</v>
      </c>
      <c r="F13" s="16">
        <f t="shared" si="0"/>
        <v>202307</v>
      </c>
    </row>
    <row r="14" spans="1:6" x14ac:dyDescent="0.3">
      <c r="A14" s="16">
        <v>13</v>
      </c>
      <c r="B14" s="18">
        <v>45275</v>
      </c>
      <c r="C14" s="16">
        <v>24</v>
      </c>
      <c r="D14" s="17">
        <v>158000</v>
      </c>
      <c r="E14" s="16" t="str">
        <f>INDEX(Customers!$C$2:$C$101,MATCH(C14,Customers!$A$2:$A$101,0))</f>
        <v>Mumbai</v>
      </c>
      <c r="F14" s="16">
        <f t="shared" si="0"/>
        <v>202312</v>
      </c>
    </row>
    <row r="15" spans="1:6" x14ac:dyDescent="0.3">
      <c r="A15" s="16">
        <v>14</v>
      </c>
      <c r="B15" s="18">
        <v>45023</v>
      </c>
      <c r="C15" s="16">
        <v>17</v>
      </c>
      <c r="D15" s="17">
        <v>72000</v>
      </c>
      <c r="E15" s="16" t="str">
        <f>INDEX(Customers!$C$2:$C$101,MATCH(C15,Customers!$A$2:$A$101,0))</f>
        <v>Jaipur</v>
      </c>
      <c r="F15" s="16">
        <f t="shared" si="0"/>
        <v>202304</v>
      </c>
    </row>
    <row r="16" spans="1:6" x14ac:dyDescent="0.3">
      <c r="A16" s="16">
        <v>15</v>
      </c>
      <c r="B16" s="18">
        <v>45055</v>
      </c>
      <c r="C16" s="16">
        <v>58</v>
      </c>
      <c r="D16" s="17">
        <v>21000</v>
      </c>
      <c r="E16" s="16" t="str">
        <f>INDEX(Customers!$C$2:$C$101,MATCH(C16,Customers!$A$2:$A$101,0))</f>
        <v>Delhi</v>
      </c>
      <c r="F16" s="16">
        <f t="shared" si="0"/>
        <v>202305</v>
      </c>
    </row>
    <row r="17" spans="1:6" x14ac:dyDescent="0.3">
      <c r="A17" s="16">
        <v>16</v>
      </c>
      <c r="B17" s="18">
        <v>45196</v>
      </c>
      <c r="C17" s="16">
        <v>36</v>
      </c>
      <c r="D17" s="17">
        <v>340000</v>
      </c>
      <c r="E17" s="16" t="str">
        <f>INDEX(Customers!$C$2:$C$101,MATCH(C17,Customers!$A$2:$A$101,0))</f>
        <v>Lucknow</v>
      </c>
      <c r="F17" s="16">
        <f t="shared" si="0"/>
        <v>202309</v>
      </c>
    </row>
    <row r="18" spans="1:6" x14ac:dyDescent="0.3">
      <c r="A18" s="16">
        <v>17</v>
      </c>
      <c r="B18" s="18">
        <v>45138</v>
      </c>
      <c r="C18" s="16">
        <v>68</v>
      </c>
      <c r="D18" s="17">
        <v>36000</v>
      </c>
      <c r="E18" s="16" t="str">
        <f>INDEX(Customers!$C$2:$C$101,MATCH(C18,Customers!$A$2:$A$101,0))</f>
        <v>Chennai</v>
      </c>
      <c r="F18" s="16">
        <f t="shared" si="0"/>
        <v>202307</v>
      </c>
    </row>
    <row r="19" spans="1:6" x14ac:dyDescent="0.3">
      <c r="A19" s="16">
        <v>18</v>
      </c>
      <c r="B19" s="18">
        <v>45176</v>
      </c>
      <c r="C19" s="16">
        <v>78</v>
      </c>
      <c r="D19" s="17">
        <v>282000</v>
      </c>
      <c r="E19" s="16" t="str">
        <f>INDEX(Customers!$C$2:$C$101,MATCH(C19,Customers!$A$2:$A$101,0))</f>
        <v>Chennai</v>
      </c>
      <c r="F19" s="16">
        <f t="shared" si="0"/>
        <v>202309</v>
      </c>
    </row>
    <row r="20" spans="1:6" x14ac:dyDescent="0.3">
      <c r="A20" s="16">
        <v>19</v>
      </c>
      <c r="B20" s="18">
        <v>45064</v>
      </c>
      <c r="C20" s="16">
        <v>22</v>
      </c>
      <c r="D20" s="17">
        <v>128000</v>
      </c>
      <c r="E20" s="16" t="str">
        <f>INDEX(Customers!$C$2:$C$101,MATCH(C20,Customers!$A$2:$A$101,0))</f>
        <v>Ahmedabad</v>
      </c>
      <c r="F20" s="16">
        <f t="shared" si="0"/>
        <v>202305</v>
      </c>
    </row>
    <row r="21" spans="1:6" x14ac:dyDescent="0.3">
      <c r="A21" s="16">
        <v>20</v>
      </c>
      <c r="B21" s="18">
        <v>45092</v>
      </c>
      <c r="C21" s="16">
        <v>61</v>
      </c>
      <c r="D21" s="17">
        <v>23000</v>
      </c>
      <c r="E21" s="16" t="str">
        <f>INDEX(Customers!$C$2:$C$101,MATCH(C21,Customers!$A$2:$A$101,0))</f>
        <v>Kolkata</v>
      </c>
      <c r="F21" s="16">
        <f t="shared" si="0"/>
        <v>202306</v>
      </c>
    </row>
    <row r="22" spans="1:6" x14ac:dyDescent="0.3">
      <c r="A22" s="16">
        <v>21</v>
      </c>
      <c r="B22" s="18">
        <v>45028</v>
      </c>
      <c r="C22" s="16">
        <v>28</v>
      </c>
      <c r="D22" s="17">
        <v>18000</v>
      </c>
      <c r="E22" s="16" t="str">
        <f>INDEX(Customers!$C$2:$C$101,MATCH(C22,Customers!$A$2:$A$101,0))</f>
        <v>Lucknow</v>
      </c>
      <c r="F22" s="16">
        <f t="shared" si="0"/>
        <v>202304</v>
      </c>
    </row>
    <row r="23" spans="1:6" x14ac:dyDescent="0.3">
      <c r="A23" s="16">
        <v>22</v>
      </c>
      <c r="B23" s="18">
        <v>45165</v>
      </c>
      <c r="C23" s="16">
        <v>39</v>
      </c>
      <c r="D23" s="17">
        <v>37000</v>
      </c>
      <c r="E23" s="16" t="str">
        <f>INDEX(Customers!$C$2:$C$101,MATCH(C23,Customers!$A$2:$A$101,0))</f>
        <v>Bangalore</v>
      </c>
      <c r="F23" s="16">
        <f t="shared" si="0"/>
        <v>202308</v>
      </c>
    </row>
    <row r="24" spans="1:6" x14ac:dyDescent="0.3">
      <c r="A24" s="16">
        <v>23</v>
      </c>
      <c r="B24" s="18">
        <v>45070</v>
      </c>
      <c r="C24" s="16">
        <v>48</v>
      </c>
      <c r="D24" s="17">
        <v>12000</v>
      </c>
      <c r="E24" s="16" t="str">
        <f>INDEX(Customers!$C$2:$C$101,MATCH(C24,Customers!$A$2:$A$101,0))</f>
        <v>Jaipur</v>
      </c>
      <c r="F24" s="16">
        <f t="shared" si="0"/>
        <v>202305</v>
      </c>
    </row>
    <row r="25" spans="1:6" x14ac:dyDescent="0.3">
      <c r="A25" s="16">
        <v>24</v>
      </c>
      <c r="B25" s="18">
        <v>45058</v>
      </c>
      <c r="C25" s="16">
        <v>83</v>
      </c>
      <c r="D25" s="17">
        <v>91000</v>
      </c>
      <c r="E25" s="16" t="str">
        <f>INDEX(Customers!$C$2:$C$101,MATCH(C25,Customers!$A$2:$A$101,0))</f>
        <v>Mumbai</v>
      </c>
      <c r="F25" s="16">
        <f t="shared" si="0"/>
        <v>202305</v>
      </c>
    </row>
    <row r="26" spans="1:6" x14ac:dyDescent="0.3">
      <c r="A26" s="16">
        <v>25</v>
      </c>
      <c r="B26" s="18">
        <v>45067</v>
      </c>
      <c r="C26" s="16">
        <v>86</v>
      </c>
      <c r="D26" s="17">
        <v>51000</v>
      </c>
      <c r="E26" s="16" t="str">
        <f>INDEX(Customers!$C$2:$C$101,MATCH(C26,Customers!$A$2:$A$101,0))</f>
        <v>Jaipur</v>
      </c>
      <c r="F26" s="16">
        <f t="shared" si="0"/>
        <v>202305</v>
      </c>
    </row>
    <row r="27" spans="1:6" x14ac:dyDescent="0.3">
      <c r="A27" s="16">
        <v>26</v>
      </c>
      <c r="B27" s="18">
        <v>45047</v>
      </c>
      <c r="C27" s="16">
        <v>23</v>
      </c>
      <c r="D27" s="17">
        <v>24000</v>
      </c>
      <c r="E27" s="16" t="str">
        <f>INDEX(Customers!$C$2:$C$101,MATCH(C27,Customers!$A$2:$A$101,0))</f>
        <v>Chennai</v>
      </c>
      <c r="F27" s="16">
        <f t="shared" si="0"/>
        <v>202305</v>
      </c>
    </row>
    <row r="28" spans="1:6" x14ac:dyDescent="0.3">
      <c r="A28" s="16">
        <v>27</v>
      </c>
      <c r="B28" s="18">
        <v>45224</v>
      </c>
      <c r="C28" s="16">
        <v>84</v>
      </c>
      <c r="D28" s="17">
        <v>66000</v>
      </c>
      <c r="E28" s="16" t="str">
        <f>INDEX(Customers!$C$2:$C$101,MATCH(C28,Customers!$A$2:$A$101,0))</f>
        <v>Delhi</v>
      </c>
      <c r="F28" s="16">
        <f t="shared" si="0"/>
        <v>202310</v>
      </c>
    </row>
    <row r="29" spans="1:6" x14ac:dyDescent="0.3">
      <c r="A29" s="16">
        <v>28</v>
      </c>
      <c r="B29" s="18">
        <v>45340</v>
      </c>
      <c r="C29" s="16">
        <v>52</v>
      </c>
      <c r="D29" s="17">
        <v>9000</v>
      </c>
      <c r="E29" s="16" t="str">
        <f>INDEX(Customers!$C$2:$C$101,MATCH(C29,Customers!$A$2:$A$101,0))</f>
        <v>Kolkata</v>
      </c>
      <c r="F29" s="16">
        <f t="shared" si="0"/>
        <v>202402</v>
      </c>
    </row>
    <row r="30" spans="1:6" x14ac:dyDescent="0.3">
      <c r="A30" s="16">
        <v>29</v>
      </c>
      <c r="B30" s="18">
        <v>45234</v>
      </c>
      <c r="C30" s="16">
        <v>11</v>
      </c>
      <c r="D30" s="17">
        <v>15000</v>
      </c>
      <c r="E30" s="16" t="str">
        <f>INDEX(Customers!$C$2:$C$101,MATCH(C30,Customers!$A$2:$A$101,0))</f>
        <v>Lucknow</v>
      </c>
      <c r="F30" s="16">
        <f t="shared" si="0"/>
        <v>202311</v>
      </c>
    </row>
    <row r="31" spans="1:6" x14ac:dyDescent="0.3">
      <c r="A31" s="16">
        <v>30</v>
      </c>
      <c r="B31" s="18">
        <v>45179</v>
      </c>
      <c r="C31" s="16">
        <v>9</v>
      </c>
      <c r="D31" s="17">
        <v>12000</v>
      </c>
      <c r="E31" s="16" t="str">
        <f>INDEX(Customers!$C$2:$C$101,MATCH(C31,Customers!$A$2:$A$101,0))</f>
        <v>Hyderabad</v>
      </c>
      <c r="F31" s="16">
        <f t="shared" si="0"/>
        <v>202309</v>
      </c>
    </row>
    <row r="32" spans="1:6" x14ac:dyDescent="0.3">
      <c r="A32" s="16">
        <v>31</v>
      </c>
      <c r="B32" s="18">
        <v>45151</v>
      </c>
      <c r="C32" s="16">
        <v>49</v>
      </c>
      <c r="D32" s="17">
        <v>85000</v>
      </c>
      <c r="E32" s="16" t="str">
        <f>INDEX(Customers!$C$2:$C$101,MATCH(C32,Customers!$A$2:$A$101,0))</f>
        <v>Pune</v>
      </c>
      <c r="F32" s="16">
        <f t="shared" si="0"/>
        <v>202308</v>
      </c>
    </row>
    <row r="33" spans="1:6" x14ac:dyDescent="0.3">
      <c r="A33" s="16">
        <v>32</v>
      </c>
      <c r="B33" s="18">
        <v>45126</v>
      </c>
      <c r="C33" s="16">
        <v>95</v>
      </c>
      <c r="D33" s="17">
        <v>135000</v>
      </c>
      <c r="E33" s="16" t="str">
        <f>INDEX(Customers!$C$2:$C$101,MATCH(C33,Customers!$A$2:$A$101,0))</f>
        <v>Ahmedabad</v>
      </c>
      <c r="F33" s="16">
        <f t="shared" si="0"/>
        <v>202307</v>
      </c>
    </row>
    <row r="34" spans="1:6" x14ac:dyDescent="0.3">
      <c r="A34" s="16">
        <v>33</v>
      </c>
      <c r="B34" s="18">
        <v>45240</v>
      </c>
      <c r="C34" s="16">
        <v>7</v>
      </c>
      <c r="D34" s="17">
        <v>12000</v>
      </c>
      <c r="E34" s="16" t="str">
        <f>INDEX(Customers!$C$2:$C$101,MATCH(C34,Customers!$A$2:$A$101,0))</f>
        <v>Chennai</v>
      </c>
      <c r="F34" s="16">
        <f t="shared" ref="F34:F65" si="1">YEAR(B34)*100+MONTH(B34)</f>
        <v>202311</v>
      </c>
    </row>
    <row r="35" spans="1:6" x14ac:dyDescent="0.3">
      <c r="A35" s="16">
        <v>34</v>
      </c>
      <c r="B35" s="18">
        <v>45226</v>
      </c>
      <c r="C35" s="16">
        <v>57</v>
      </c>
      <c r="D35" s="17">
        <v>40000</v>
      </c>
      <c r="E35" s="16" t="str">
        <f>INDEX(Customers!$C$2:$C$101,MATCH(C35,Customers!$A$2:$A$101,0))</f>
        <v>Kolkata</v>
      </c>
      <c r="F35" s="16">
        <f t="shared" si="1"/>
        <v>202310</v>
      </c>
    </row>
    <row r="36" spans="1:6" x14ac:dyDescent="0.3">
      <c r="A36" s="16">
        <v>35</v>
      </c>
      <c r="B36" s="18">
        <v>45111</v>
      </c>
      <c r="C36" s="16">
        <v>14</v>
      </c>
      <c r="D36" s="17">
        <v>5000</v>
      </c>
      <c r="E36" s="16" t="str">
        <f>INDEX(Customers!$C$2:$C$101,MATCH(C36,Customers!$A$2:$A$101,0))</f>
        <v>Lucknow</v>
      </c>
      <c r="F36" s="16">
        <f t="shared" si="1"/>
        <v>202307</v>
      </c>
    </row>
    <row r="37" spans="1:6" x14ac:dyDescent="0.3">
      <c r="A37" s="16">
        <v>36</v>
      </c>
      <c r="B37" s="18">
        <v>45120</v>
      </c>
      <c r="C37" s="16">
        <v>16</v>
      </c>
      <c r="D37" s="17">
        <v>15000</v>
      </c>
      <c r="E37" s="16" t="str">
        <f>INDEX(Customers!$C$2:$C$101,MATCH(C37,Customers!$A$2:$A$101,0))</f>
        <v>Jaipur</v>
      </c>
      <c r="F37" s="16">
        <f t="shared" si="1"/>
        <v>202307</v>
      </c>
    </row>
    <row r="38" spans="1:6" x14ac:dyDescent="0.3">
      <c r="A38" s="16">
        <v>37</v>
      </c>
      <c r="B38" s="18">
        <v>45289</v>
      </c>
      <c r="C38" s="16">
        <v>4</v>
      </c>
      <c r="D38" s="17">
        <v>260000</v>
      </c>
      <c r="E38" s="16" t="str">
        <f>INDEX(Customers!$C$2:$C$101,MATCH(C38,Customers!$A$2:$A$101,0))</f>
        <v>Pune</v>
      </c>
      <c r="F38" s="16">
        <f t="shared" si="1"/>
        <v>202312</v>
      </c>
    </row>
    <row r="39" spans="1:6" x14ac:dyDescent="0.3">
      <c r="A39" s="16">
        <v>38</v>
      </c>
      <c r="B39" s="18">
        <v>45155</v>
      </c>
      <c r="C39" s="16">
        <v>59</v>
      </c>
      <c r="D39" s="17">
        <v>324000</v>
      </c>
      <c r="E39" s="16" t="str">
        <f>INDEX(Customers!$C$2:$C$101,MATCH(C39,Customers!$A$2:$A$101,0))</f>
        <v>Bangalore</v>
      </c>
      <c r="F39" s="16">
        <f t="shared" si="1"/>
        <v>202308</v>
      </c>
    </row>
    <row r="40" spans="1:6" x14ac:dyDescent="0.3">
      <c r="A40" s="16">
        <v>39</v>
      </c>
      <c r="B40" s="18">
        <v>45115</v>
      </c>
      <c r="C40" s="16">
        <v>16</v>
      </c>
      <c r="D40" s="17">
        <v>50000</v>
      </c>
      <c r="E40" s="16" t="str">
        <f>INDEX(Customers!$C$2:$C$101,MATCH(C40,Customers!$A$2:$A$101,0))</f>
        <v>Jaipur</v>
      </c>
      <c r="F40" s="16">
        <f t="shared" si="1"/>
        <v>202307</v>
      </c>
    </row>
    <row r="41" spans="1:6" x14ac:dyDescent="0.3">
      <c r="A41" s="16">
        <v>40</v>
      </c>
      <c r="B41" s="18">
        <v>45253</v>
      </c>
      <c r="C41" s="16">
        <v>99</v>
      </c>
      <c r="D41" s="17">
        <v>48000</v>
      </c>
      <c r="E41" s="16" t="str">
        <f>INDEX(Customers!$C$2:$C$101,MATCH(C41,Customers!$A$2:$A$101,0))</f>
        <v>Mumbai</v>
      </c>
      <c r="F41" s="16">
        <f t="shared" si="1"/>
        <v>202311</v>
      </c>
    </row>
    <row r="42" spans="1:6" x14ac:dyDescent="0.3">
      <c r="A42" s="16">
        <v>41</v>
      </c>
      <c r="B42" s="18">
        <v>45001</v>
      </c>
      <c r="C42" s="16">
        <v>91</v>
      </c>
      <c r="D42" s="17">
        <v>39000</v>
      </c>
      <c r="E42" s="16" t="str">
        <f>INDEX(Customers!$C$2:$C$101,MATCH(C42,Customers!$A$2:$A$101,0))</f>
        <v>Jaipur</v>
      </c>
      <c r="F42" s="16">
        <f t="shared" si="1"/>
        <v>202303</v>
      </c>
    </row>
    <row r="43" spans="1:6" x14ac:dyDescent="0.3">
      <c r="A43" s="16">
        <v>42</v>
      </c>
      <c r="B43" s="18">
        <v>45341</v>
      </c>
      <c r="C43" s="16">
        <v>88</v>
      </c>
      <c r="D43" s="17">
        <v>33000</v>
      </c>
      <c r="E43" s="16" t="str">
        <f>INDEX(Customers!$C$2:$C$101,MATCH(C43,Customers!$A$2:$A$101,0))</f>
        <v>Chennai</v>
      </c>
      <c r="F43" s="16">
        <f t="shared" si="1"/>
        <v>202402</v>
      </c>
    </row>
    <row r="44" spans="1:6" x14ac:dyDescent="0.3">
      <c r="A44" s="16">
        <v>43</v>
      </c>
      <c r="B44" s="18">
        <v>45299</v>
      </c>
      <c r="C44" s="16">
        <v>11</v>
      </c>
      <c r="D44" s="17">
        <v>51000</v>
      </c>
      <c r="E44" s="16" t="str">
        <f>INDEX(Customers!$C$2:$C$101,MATCH(C44,Customers!$A$2:$A$101,0))</f>
        <v>Lucknow</v>
      </c>
      <c r="F44" s="16">
        <f t="shared" si="1"/>
        <v>202401</v>
      </c>
    </row>
    <row r="45" spans="1:6" x14ac:dyDescent="0.3">
      <c r="A45" s="16">
        <v>44</v>
      </c>
      <c r="B45" s="18">
        <v>45035</v>
      </c>
      <c r="C45" s="16">
        <v>88</v>
      </c>
      <c r="D45" s="17">
        <v>213000</v>
      </c>
      <c r="E45" s="16" t="str">
        <f>INDEX(Customers!$C$2:$C$101,MATCH(C45,Customers!$A$2:$A$101,0))</f>
        <v>Chennai</v>
      </c>
      <c r="F45" s="16">
        <f t="shared" si="1"/>
        <v>202304</v>
      </c>
    </row>
    <row r="46" spans="1:6" x14ac:dyDescent="0.3">
      <c r="A46" s="16">
        <v>45</v>
      </c>
      <c r="B46" s="18">
        <v>45195</v>
      </c>
      <c r="C46" s="16">
        <v>22</v>
      </c>
      <c r="D46" s="17">
        <v>45000</v>
      </c>
      <c r="E46" s="16" t="str">
        <f>INDEX(Customers!$C$2:$C$101,MATCH(C46,Customers!$A$2:$A$101,0))</f>
        <v>Ahmedabad</v>
      </c>
      <c r="F46" s="16">
        <f t="shared" si="1"/>
        <v>202309</v>
      </c>
    </row>
    <row r="47" spans="1:6" x14ac:dyDescent="0.3">
      <c r="A47" s="16">
        <v>46</v>
      </c>
      <c r="B47" s="18">
        <v>45025</v>
      </c>
      <c r="C47" s="16">
        <v>87</v>
      </c>
      <c r="D47" s="17">
        <v>69000</v>
      </c>
      <c r="E47" s="16" t="str">
        <f>INDEX(Customers!$C$2:$C$101,MATCH(C47,Customers!$A$2:$A$101,0))</f>
        <v>Chennai</v>
      </c>
      <c r="F47" s="16">
        <f t="shared" si="1"/>
        <v>202304</v>
      </c>
    </row>
    <row r="48" spans="1:6" x14ac:dyDescent="0.3">
      <c r="A48" s="16">
        <v>47</v>
      </c>
      <c r="B48" s="18">
        <v>45231</v>
      </c>
      <c r="C48" s="16">
        <v>100</v>
      </c>
      <c r="D48" s="17">
        <v>7000</v>
      </c>
      <c r="E48" s="16" t="str">
        <f>INDEX(Customers!$C$2:$C$101,MATCH(C48,Customers!$A$2:$A$101,0))</f>
        <v>Bangalore</v>
      </c>
      <c r="F48" s="16">
        <f t="shared" si="1"/>
        <v>202311</v>
      </c>
    </row>
    <row r="49" spans="1:6" x14ac:dyDescent="0.3">
      <c r="A49" s="16">
        <v>48</v>
      </c>
      <c r="B49" s="18">
        <v>45110</v>
      </c>
      <c r="C49" s="16">
        <v>68</v>
      </c>
      <c r="D49" s="17">
        <v>186000</v>
      </c>
      <c r="E49" s="16" t="str">
        <f>INDEX(Customers!$C$2:$C$101,MATCH(C49,Customers!$A$2:$A$101,0))</f>
        <v>Chennai</v>
      </c>
      <c r="F49" s="16">
        <f t="shared" si="1"/>
        <v>202307</v>
      </c>
    </row>
    <row r="50" spans="1:6" x14ac:dyDescent="0.3">
      <c r="A50" s="16">
        <v>49</v>
      </c>
      <c r="B50" s="18">
        <v>45209</v>
      </c>
      <c r="C50" s="16">
        <v>85</v>
      </c>
      <c r="D50" s="17">
        <v>54000</v>
      </c>
      <c r="E50" s="16" t="str">
        <f>INDEX(Customers!$C$2:$C$101,MATCH(C50,Customers!$A$2:$A$101,0))</f>
        <v>Hyderabad</v>
      </c>
      <c r="F50" s="16">
        <f t="shared" si="1"/>
        <v>202310</v>
      </c>
    </row>
    <row r="51" spans="1:6" x14ac:dyDescent="0.3">
      <c r="A51" s="16">
        <v>50</v>
      </c>
      <c r="B51" s="18">
        <v>45263</v>
      </c>
      <c r="C51" s="16">
        <v>11</v>
      </c>
      <c r="D51" s="17">
        <v>63000</v>
      </c>
      <c r="E51" s="16" t="str">
        <f>INDEX(Customers!$C$2:$C$101,MATCH(C51,Customers!$A$2:$A$101,0))</f>
        <v>Lucknow</v>
      </c>
      <c r="F51" s="16">
        <f t="shared" si="1"/>
        <v>202312</v>
      </c>
    </row>
    <row r="52" spans="1:6" x14ac:dyDescent="0.3">
      <c r="A52" s="16">
        <v>51</v>
      </c>
      <c r="B52" s="18">
        <v>45273</v>
      </c>
      <c r="C52" s="16">
        <v>20</v>
      </c>
      <c r="D52" s="17">
        <v>176000</v>
      </c>
      <c r="E52" s="16" t="str">
        <f>INDEX(Customers!$C$2:$C$101,MATCH(C52,Customers!$A$2:$A$101,0))</f>
        <v>Pune</v>
      </c>
      <c r="F52" s="16">
        <f t="shared" si="1"/>
        <v>202312</v>
      </c>
    </row>
    <row r="53" spans="1:6" x14ac:dyDescent="0.3">
      <c r="A53" s="16">
        <v>52</v>
      </c>
      <c r="B53" s="18">
        <v>45284</v>
      </c>
      <c r="C53" s="16">
        <v>95</v>
      </c>
      <c r="D53" s="17">
        <v>199000</v>
      </c>
      <c r="E53" s="16" t="str">
        <f>INDEX(Customers!$C$2:$C$101,MATCH(C53,Customers!$A$2:$A$101,0))</f>
        <v>Ahmedabad</v>
      </c>
      <c r="F53" s="16">
        <f t="shared" si="1"/>
        <v>202312</v>
      </c>
    </row>
    <row r="54" spans="1:6" x14ac:dyDescent="0.3">
      <c r="A54" s="16">
        <v>53</v>
      </c>
      <c r="B54" s="18">
        <v>45021</v>
      </c>
      <c r="C54" s="16">
        <v>67</v>
      </c>
      <c r="D54" s="17">
        <v>147000</v>
      </c>
      <c r="E54" s="16" t="str">
        <f>INDEX(Customers!$C$2:$C$101,MATCH(C54,Customers!$A$2:$A$101,0))</f>
        <v>Lucknow</v>
      </c>
      <c r="F54" s="16">
        <f t="shared" si="1"/>
        <v>202304</v>
      </c>
    </row>
    <row r="55" spans="1:6" x14ac:dyDescent="0.3">
      <c r="A55" s="16">
        <v>54</v>
      </c>
      <c r="B55" s="18">
        <v>45230</v>
      </c>
      <c r="C55" s="16">
        <v>28</v>
      </c>
      <c r="D55" s="17">
        <v>198000</v>
      </c>
      <c r="E55" s="16" t="str">
        <f>INDEX(Customers!$C$2:$C$101,MATCH(C55,Customers!$A$2:$A$101,0))</f>
        <v>Lucknow</v>
      </c>
      <c r="F55" s="16">
        <f t="shared" si="1"/>
        <v>202310</v>
      </c>
    </row>
    <row r="56" spans="1:6" x14ac:dyDescent="0.3">
      <c r="A56" s="16">
        <v>55</v>
      </c>
      <c r="B56" s="18">
        <v>45126</v>
      </c>
      <c r="C56" s="16">
        <v>57</v>
      </c>
      <c r="D56" s="17">
        <v>16000</v>
      </c>
      <c r="E56" s="16" t="str">
        <f>INDEX(Customers!$C$2:$C$101,MATCH(C56,Customers!$A$2:$A$101,0))</f>
        <v>Kolkata</v>
      </c>
      <c r="F56" s="16">
        <f t="shared" si="1"/>
        <v>202307</v>
      </c>
    </row>
    <row r="57" spans="1:6" x14ac:dyDescent="0.3">
      <c r="A57" s="16">
        <v>56</v>
      </c>
      <c r="B57" s="18">
        <v>45061</v>
      </c>
      <c r="C57" s="16">
        <v>10</v>
      </c>
      <c r="D57" s="17">
        <v>74000</v>
      </c>
      <c r="E57" s="16" t="str">
        <f>INDEX(Customers!$C$2:$C$101,MATCH(C57,Customers!$A$2:$A$101,0))</f>
        <v>Ahmedabad</v>
      </c>
      <c r="F57" s="16">
        <f t="shared" si="1"/>
        <v>202305</v>
      </c>
    </row>
    <row r="58" spans="1:6" x14ac:dyDescent="0.3">
      <c r="A58" s="16">
        <v>57</v>
      </c>
      <c r="B58" s="18">
        <v>45193</v>
      </c>
      <c r="C58" s="16">
        <v>64</v>
      </c>
      <c r="D58" s="17">
        <v>224000</v>
      </c>
      <c r="E58" s="16" t="str">
        <f>INDEX(Customers!$C$2:$C$101,MATCH(C58,Customers!$A$2:$A$101,0))</f>
        <v>Chennai</v>
      </c>
      <c r="F58" s="16">
        <f t="shared" si="1"/>
        <v>202309</v>
      </c>
    </row>
    <row r="59" spans="1:6" x14ac:dyDescent="0.3">
      <c r="A59" s="16">
        <v>58</v>
      </c>
      <c r="B59" s="18">
        <v>44997</v>
      </c>
      <c r="C59" s="16">
        <v>40</v>
      </c>
      <c r="D59" s="17">
        <v>114000</v>
      </c>
      <c r="E59" s="16" t="str">
        <f>INDEX(Customers!$C$2:$C$101,MATCH(C59,Customers!$A$2:$A$101,0))</f>
        <v>Delhi</v>
      </c>
      <c r="F59" s="16">
        <f t="shared" si="1"/>
        <v>202303</v>
      </c>
    </row>
    <row r="60" spans="1:6" x14ac:dyDescent="0.3">
      <c r="A60" s="16">
        <v>59</v>
      </c>
      <c r="B60" s="18">
        <v>45052</v>
      </c>
      <c r="C60" s="16">
        <v>85</v>
      </c>
      <c r="D60" s="17">
        <v>187000</v>
      </c>
      <c r="E60" s="16" t="str">
        <f>INDEX(Customers!$C$2:$C$101,MATCH(C60,Customers!$A$2:$A$101,0))</f>
        <v>Hyderabad</v>
      </c>
      <c r="F60" s="16">
        <f t="shared" si="1"/>
        <v>202305</v>
      </c>
    </row>
    <row r="61" spans="1:6" x14ac:dyDescent="0.3">
      <c r="A61" s="16">
        <v>60</v>
      </c>
      <c r="B61" s="18">
        <v>45028</v>
      </c>
      <c r="C61" s="16">
        <v>23</v>
      </c>
      <c r="D61" s="17">
        <v>177000</v>
      </c>
      <c r="E61" s="16" t="str">
        <f>INDEX(Customers!$C$2:$C$101,MATCH(C61,Customers!$A$2:$A$101,0))</f>
        <v>Chennai</v>
      </c>
      <c r="F61" s="16">
        <f t="shared" si="1"/>
        <v>202304</v>
      </c>
    </row>
    <row r="62" spans="1:6" x14ac:dyDescent="0.3">
      <c r="A62" s="16">
        <v>61</v>
      </c>
      <c r="B62" s="18">
        <v>45089</v>
      </c>
      <c r="C62" s="16">
        <v>87</v>
      </c>
      <c r="D62" s="17">
        <v>3000</v>
      </c>
      <c r="E62" s="16" t="str">
        <f>INDEX(Customers!$C$2:$C$101,MATCH(C62,Customers!$A$2:$A$101,0))</f>
        <v>Chennai</v>
      </c>
      <c r="F62" s="16">
        <f t="shared" si="1"/>
        <v>202306</v>
      </c>
    </row>
    <row r="63" spans="1:6" x14ac:dyDescent="0.3">
      <c r="A63" s="16">
        <v>62</v>
      </c>
      <c r="B63" s="18">
        <v>45294</v>
      </c>
      <c r="C63" s="16">
        <v>17</v>
      </c>
      <c r="D63" s="17">
        <v>272000</v>
      </c>
      <c r="E63" s="16" t="str">
        <f>INDEX(Customers!$C$2:$C$101,MATCH(C63,Customers!$A$2:$A$101,0))</f>
        <v>Jaipur</v>
      </c>
      <c r="F63" s="16">
        <f t="shared" si="1"/>
        <v>202401</v>
      </c>
    </row>
    <row r="64" spans="1:6" x14ac:dyDescent="0.3">
      <c r="A64" s="16">
        <v>63</v>
      </c>
      <c r="B64" s="18">
        <v>45164</v>
      </c>
      <c r="C64" s="16">
        <v>85</v>
      </c>
      <c r="D64" s="17">
        <v>74000</v>
      </c>
      <c r="E64" s="16" t="str">
        <f>INDEX(Customers!$C$2:$C$101,MATCH(C64,Customers!$A$2:$A$101,0))</f>
        <v>Hyderabad</v>
      </c>
      <c r="F64" s="16">
        <f t="shared" si="1"/>
        <v>202308</v>
      </c>
    </row>
    <row r="65" spans="1:6" x14ac:dyDescent="0.3">
      <c r="A65" s="16">
        <v>64</v>
      </c>
      <c r="B65" s="18">
        <v>45156</v>
      </c>
      <c r="C65" s="16">
        <v>26</v>
      </c>
      <c r="D65" s="17">
        <v>109000</v>
      </c>
      <c r="E65" s="16" t="str">
        <f>INDEX(Customers!$C$2:$C$101,MATCH(C65,Customers!$A$2:$A$101,0))</f>
        <v>Kolkata</v>
      </c>
      <c r="F65" s="16">
        <f t="shared" si="1"/>
        <v>202308</v>
      </c>
    </row>
    <row r="66" spans="1:6" x14ac:dyDescent="0.3">
      <c r="A66" s="16">
        <v>65</v>
      </c>
      <c r="B66" s="18">
        <v>45196</v>
      </c>
      <c r="C66" s="16">
        <v>57</v>
      </c>
      <c r="D66" s="17">
        <v>101000</v>
      </c>
      <c r="E66" s="16" t="str">
        <f>INDEX(Customers!$C$2:$C$101,MATCH(C66,Customers!$A$2:$A$101,0))</f>
        <v>Kolkata</v>
      </c>
      <c r="F66" s="16">
        <f t="shared" ref="F66:F97" si="2">YEAR(B66)*100+MONTH(B66)</f>
        <v>202309</v>
      </c>
    </row>
    <row r="67" spans="1:6" x14ac:dyDescent="0.3">
      <c r="A67" s="16">
        <v>66</v>
      </c>
      <c r="B67" s="18">
        <v>45172</v>
      </c>
      <c r="C67" s="16">
        <v>17</v>
      </c>
      <c r="D67" s="17">
        <v>235000</v>
      </c>
      <c r="E67" s="16" t="str">
        <f>INDEX(Customers!$C$2:$C$101,MATCH(C67,Customers!$A$2:$A$101,0))</f>
        <v>Jaipur</v>
      </c>
      <c r="F67" s="16">
        <f t="shared" si="2"/>
        <v>202309</v>
      </c>
    </row>
    <row r="68" spans="1:6" x14ac:dyDescent="0.3">
      <c r="A68" s="16">
        <v>67</v>
      </c>
      <c r="B68" s="18">
        <v>45311</v>
      </c>
      <c r="C68" s="16">
        <v>96</v>
      </c>
      <c r="D68" s="17">
        <v>24000</v>
      </c>
      <c r="E68" s="16" t="str">
        <f>INDEX(Customers!$C$2:$C$101,MATCH(C68,Customers!$A$2:$A$101,0))</f>
        <v>Bangalore</v>
      </c>
      <c r="F68" s="16">
        <f t="shared" si="2"/>
        <v>202401</v>
      </c>
    </row>
    <row r="69" spans="1:6" x14ac:dyDescent="0.3">
      <c r="A69" s="16">
        <v>68</v>
      </c>
      <c r="B69" s="18">
        <v>45298</v>
      </c>
      <c r="C69" s="16">
        <v>78</v>
      </c>
      <c r="D69" s="17">
        <v>145000</v>
      </c>
      <c r="E69" s="16" t="str">
        <f>INDEX(Customers!$C$2:$C$101,MATCH(C69,Customers!$A$2:$A$101,0))</f>
        <v>Chennai</v>
      </c>
      <c r="F69" s="16">
        <f t="shared" si="2"/>
        <v>202401</v>
      </c>
    </row>
    <row r="70" spans="1:6" x14ac:dyDescent="0.3">
      <c r="A70" s="16">
        <v>69</v>
      </c>
      <c r="B70" s="18">
        <v>45130</v>
      </c>
      <c r="C70" s="16">
        <v>25</v>
      </c>
      <c r="D70" s="17">
        <v>75000</v>
      </c>
      <c r="E70" s="16" t="str">
        <f>INDEX(Customers!$C$2:$C$101,MATCH(C70,Customers!$A$2:$A$101,0))</f>
        <v>Ahmedabad</v>
      </c>
      <c r="F70" s="16">
        <f t="shared" si="2"/>
        <v>202307</v>
      </c>
    </row>
    <row r="71" spans="1:6" x14ac:dyDescent="0.3">
      <c r="A71" s="16">
        <v>70</v>
      </c>
      <c r="B71" s="18">
        <v>45167</v>
      </c>
      <c r="C71" s="16">
        <v>11</v>
      </c>
      <c r="D71" s="17">
        <v>73000</v>
      </c>
      <c r="E71" s="16" t="str">
        <f>INDEX(Customers!$C$2:$C$101,MATCH(C71,Customers!$A$2:$A$101,0))</f>
        <v>Lucknow</v>
      </c>
      <c r="F71" s="16">
        <f t="shared" si="2"/>
        <v>202308</v>
      </c>
    </row>
    <row r="72" spans="1:6" x14ac:dyDescent="0.3">
      <c r="A72" s="16">
        <v>71</v>
      </c>
      <c r="B72" s="18">
        <v>45325</v>
      </c>
      <c r="C72" s="16">
        <v>5</v>
      </c>
      <c r="D72" s="17">
        <v>38000</v>
      </c>
      <c r="E72" s="16" t="str">
        <f>INDEX(Customers!$C$2:$C$101,MATCH(C72,Customers!$A$2:$A$101,0))</f>
        <v>Pune</v>
      </c>
      <c r="F72" s="16">
        <f t="shared" si="2"/>
        <v>202402</v>
      </c>
    </row>
    <row r="73" spans="1:6" x14ac:dyDescent="0.3">
      <c r="A73" s="16">
        <v>72</v>
      </c>
      <c r="B73" s="18">
        <v>45330</v>
      </c>
      <c r="C73" s="16">
        <v>47</v>
      </c>
      <c r="D73" s="17">
        <v>33000</v>
      </c>
      <c r="E73" s="16" t="str">
        <f>INDEX(Customers!$C$2:$C$101,MATCH(C73,Customers!$A$2:$A$101,0))</f>
        <v>Delhi</v>
      </c>
      <c r="F73" s="16">
        <f t="shared" si="2"/>
        <v>202402</v>
      </c>
    </row>
    <row r="74" spans="1:6" x14ac:dyDescent="0.3">
      <c r="A74" s="16">
        <v>73</v>
      </c>
      <c r="B74" s="18">
        <v>45144</v>
      </c>
      <c r="C74" s="16">
        <v>37</v>
      </c>
      <c r="D74" s="17">
        <v>43000</v>
      </c>
      <c r="E74" s="16" t="str">
        <f>INDEX(Customers!$C$2:$C$101,MATCH(C74,Customers!$A$2:$A$101,0))</f>
        <v>Delhi</v>
      </c>
      <c r="F74" s="16">
        <f t="shared" si="2"/>
        <v>202308</v>
      </c>
    </row>
    <row r="75" spans="1:6" x14ac:dyDescent="0.3">
      <c r="A75" s="16">
        <v>74</v>
      </c>
      <c r="B75" s="18">
        <v>45064</v>
      </c>
      <c r="C75" s="16">
        <v>54</v>
      </c>
      <c r="D75" s="17">
        <v>106000</v>
      </c>
      <c r="E75" s="16" t="str">
        <f>INDEX(Customers!$C$2:$C$101,MATCH(C75,Customers!$A$2:$A$101,0))</f>
        <v>Delhi</v>
      </c>
      <c r="F75" s="16">
        <f t="shared" si="2"/>
        <v>202305</v>
      </c>
    </row>
    <row r="76" spans="1:6" x14ac:dyDescent="0.3">
      <c r="A76" s="16">
        <v>75</v>
      </c>
      <c r="B76" s="18">
        <v>45126</v>
      </c>
      <c r="C76" s="16">
        <v>14</v>
      </c>
      <c r="D76" s="17">
        <v>74000</v>
      </c>
      <c r="E76" s="16" t="str">
        <f>INDEX(Customers!$C$2:$C$101,MATCH(C76,Customers!$A$2:$A$101,0))</f>
        <v>Lucknow</v>
      </c>
      <c r="F76" s="16">
        <f t="shared" si="2"/>
        <v>202307</v>
      </c>
    </row>
    <row r="77" spans="1:6" x14ac:dyDescent="0.3">
      <c r="A77" s="16">
        <v>76</v>
      </c>
      <c r="B77" s="18">
        <v>45312</v>
      </c>
      <c r="C77" s="16">
        <v>41</v>
      </c>
      <c r="D77" s="17">
        <v>239000</v>
      </c>
      <c r="E77" s="16" t="str">
        <f>INDEX(Customers!$C$2:$C$101,MATCH(C77,Customers!$A$2:$A$101,0))</f>
        <v>Hyderabad</v>
      </c>
      <c r="F77" s="16">
        <f t="shared" si="2"/>
        <v>202401</v>
      </c>
    </row>
    <row r="78" spans="1:6" x14ac:dyDescent="0.3">
      <c r="A78" s="16">
        <v>77</v>
      </c>
      <c r="B78" s="18">
        <v>45203</v>
      </c>
      <c r="C78" s="16">
        <v>75</v>
      </c>
      <c r="D78" s="17">
        <v>24000</v>
      </c>
      <c r="E78" s="16" t="str">
        <f>INDEX(Customers!$C$2:$C$101,MATCH(C78,Customers!$A$2:$A$101,0))</f>
        <v>Delhi</v>
      </c>
      <c r="F78" s="16">
        <f t="shared" si="2"/>
        <v>202310</v>
      </c>
    </row>
    <row r="79" spans="1:6" x14ac:dyDescent="0.3">
      <c r="A79" s="16">
        <v>78</v>
      </c>
      <c r="B79" s="18">
        <v>45105</v>
      </c>
      <c r="C79" s="16">
        <v>63</v>
      </c>
      <c r="D79" s="17">
        <v>141000</v>
      </c>
      <c r="E79" s="16" t="str">
        <f>INDEX(Customers!$C$2:$C$101,MATCH(C79,Customers!$A$2:$A$101,0))</f>
        <v>Bangalore</v>
      </c>
      <c r="F79" s="16">
        <f t="shared" si="2"/>
        <v>202306</v>
      </c>
    </row>
    <row r="80" spans="1:6" x14ac:dyDescent="0.3">
      <c r="A80" s="16">
        <v>79</v>
      </c>
      <c r="B80" s="18">
        <v>45118</v>
      </c>
      <c r="C80" s="16">
        <v>75</v>
      </c>
      <c r="D80" s="17">
        <v>29000</v>
      </c>
      <c r="E80" s="16" t="str">
        <f>INDEX(Customers!$C$2:$C$101,MATCH(C80,Customers!$A$2:$A$101,0))</f>
        <v>Delhi</v>
      </c>
      <c r="F80" s="16">
        <f t="shared" si="2"/>
        <v>202307</v>
      </c>
    </row>
    <row r="81" spans="1:6" x14ac:dyDescent="0.3">
      <c r="A81" s="16">
        <v>80</v>
      </c>
      <c r="B81" s="18">
        <v>45021</v>
      </c>
      <c r="C81" s="16">
        <v>68</v>
      </c>
      <c r="D81" s="17">
        <v>35000</v>
      </c>
      <c r="E81" s="16" t="str">
        <f>INDEX(Customers!$C$2:$C$101,MATCH(C81,Customers!$A$2:$A$101,0))</f>
        <v>Chennai</v>
      </c>
      <c r="F81" s="16">
        <f t="shared" si="2"/>
        <v>202304</v>
      </c>
    </row>
    <row r="82" spans="1:6" x14ac:dyDescent="0.3">
      <c r="A82" s="16">
        <v>81</v>
      </c>
      <c r="B82" s="18">
        <v>45153</v>
      </c>
      <c r="C82" s="16">
        <v>39</v>
      </c>
      <c r="D82" s="17">
        <v>76000</v>
      </c>
      <c r="E82" s="16" t="str">
        <f>INDEX(Customers!$C$2:$C$101,MATCH(C82,Customers!$A$2:$A$101,0))</f>
        <v>Bangalore</v>
      </c>
      <c r="F82" s="16">
        <f t="shared" si="2"/>
        <v>202308</v>
      </c>
    </row>
    <row r="83" spans="1:6" x14ac:dyDescent="0.3">
      <c r="A83" s="16">
        <v>82</v>
      </c>
      <c r="B83" s="18">
        <v>45056</v>
      </c>
      <c r="C83" s="16">
        <v>18</v>
      </c>
      <c r="D83" s="17">
        <v>84000</v>
      </c>
      <c r="E83" s="16" t="str">
        <f>INDEX(Customers!$C$2:$C$101,MATCH(C83,Customers!$A$2:$A$101,0))</f>
        <v>Jaipur</v>
      </c>
      <c r="F83" s="16">
        <f t="shared" si="2"/>
        <v>202305</v>
      </c>
    </row>
    <row r="84" spans="1:6" x14ac:dyDescent="0.3">
      <c r="A84" s="16">
        <v>83</v>
      </c>
      <c r="B84" s="18">
        <v>45330</v>
      </c>
      <c r="C84" s="16">
        <v>16</v>
      </c>
      <c r="D84" s="17">
        <v>83000</v>
      </c>
      <c r="E84" s="16" t="str">
        <f>INDEX(Customers!$C$2:$C$101,MATCH(C84,Customers!$A$2:$A$101,0))</f>
        <v>Jaipur</v>
      </c>
      <c r="F84" s="16">
        <f t="shared" si="2"/>
        <v>202402</v>
      </c>
    </row>
    <row r="85" spans="1:6" x14ac:dyDescent="0.3">
      <c r="A85" s="16">
        <v>84</v>
      </c>
      <c r="B85" s="18">
        <v>45282</v>
      </c>
      <c r="C85" s="16">
        <v>58</v>
      </c>
      <c r="D85" s="17">
        <v>83000</v>
      </c>
      <c r="E85" s="16" t="str">
        <f>INDEX(Customers!$C$2:$C$101,MATCH(C85,Customers!$A$2:$A$101,0))</f>
        <v>Delhi</v>
      </c>
      <c r="F85" s="16">
        <f t="shared" si="2"/>
        <v>202312</v>
      </c>
    </row>
    <row r="86" spans="1:6" x14ac:dyDescent="0.3">
      <c r="A86" s="16">
        <v>85</v>
      </c>
      <c r="B86" s="18">
        <v>45022</v>
      </c>
      <c r="C86" s="16">
        <v>76</v>
      </c>
      <c r="D86" s="17">
        <v>40000</v>
      </c>
      <c r="E86" s="16" t="str">
        <f>INDEX(Customers!$C$2:$C$101,MATCH(C86,Customers!$A$2:$A$101,0))</f>
        <v>Kolkata</v>
      </c>
      <c r="F86" s="16">
        <f t="shared" si="2"/>
        <v>202304</v>
      </c>
    </row>
    <row r="87" spans="1:6" x14ac:dyDescent="0.3">
      <c r="A87" s="16">
        <v>86</v>
      </c>
      <c r="B87" s="18">
        <v>45137</v>
      </c>
      <c r="C87" s="16">
        <v>52</v>
      </c>
      <c r="D87" s="17">
        <v>77000</v>
      </c>
      <c r="E87" s="16" t="str">
        <f>INDEX(Customers!$C$2:$C$101,MATCH(C87,Customers!$A$2:$A$101,0))</f>
        <v>Kolkata</v>
      </c>
      <c r="F87" s="16">
        <f t="shared" si="2"/>
        <v>202307</v>
      </c>
    </row>
    <row r="88" spans="1:6" x14ac:dyDescent="0.3">
      <c r="A88" s="16">
        <v>87</v>
      </c>
      <c r="B88" s="18">
        <v>45196</v>
      </c>
      <c r="C88" s="16">
        <v>91</v>
      </c>
      <c r="D88" s="17">
        <v>44000</v>
      </c>
      <c r="E88" s="16" t="str">
        <f>INDEX(Customers!$C$2:$C$101,MATCH(C88,Customers!$A$2:$A$101,0))</f>
        <v>Jaipur</v>
      </c>
      <c r="F88" s="16">
        <f t="shared" si="2"/>
        <v>202309</v>
      </c>
    </row>
    <row r="89" spans="1:6" x14ac:dyDescent="0.3">
      <c r="A89" s="16">
        <v>88</v>
      </c>
      <c r="B89" s="18">
        <v>45129</v>
      </c>
      <c r="C89" s="16">
        <v>92</v>
      </c>
      <c r="D89" s="17">
        <v>21000</v>
      </c>
      <c r="E89" s="16" t="str">
        <f>INDEX(Customers!$C$2:$C$101,MATCH(C89,Customers!$A$2:$A$101,0))</f>
        <v>Hyderabad</v>
      </c>
      <c r="F89" s="16">
        <f t="shared" si="2"/>
        <v>202307</v>
      </c>
    </row>
    <row r="90" spans="1:6" x14ac:dyDescent="0.3">
      <c r="A90" s="16">
        <v>89</v>
      </c>
      <c r="B90" s="18">
        <v>45248</v>
      </c>
      <c r="C90" s="16">
        <v>34</v>
      </c>
      <c r="D90" s="17">
        <v>149000</v>
      </c>
      <c r="E90" s="16" t="str">
        <f>INDEX(Customers!$C$2:$C$101,MATCH(C90,Customers!$A$2:$A$101,0))</f>
        <v>Delhi</v>
      </c>
      <c r="F90" s="16">
        <f t="shared" si="2"/>
        <v>202311</v>
      </c>
    </row>
    <row r="91" spans="1:6" x14ac:dyDescent="0.3">
      <c r="A91" s="16">
        <v>90</v>
      </c>
      <c r="B91" s="18">
        <v>45046</v>
      </c>
      <c r="C91" s="16">
        <v>12</v>
      </c>
      <c r="D91" s="17">
        <v>185000</v>
      </c>
      <c r="E91" s="16" t="str">
        <f>INDEX(Customers!$C$2:$C$101,MATCH(C91,Customers!$A$2:$A$101,0))</f>
        <v>Kolkata</v>
      </c>
      <c r="F91" s="16">
        <f t="shared" si="2"/>
        <v>202304</v>
      </c>
    </row>
    <row r="92" spans="1:6" x14ac:dyDescent="0.3">
      <c r="A92" s="16">
        <v>91</v>
      </c>
      <c r="B92" s="18">
        <v>45346</v>
      </c>
      <c r="C92" s="16">
        <v>51</v>
      </c>
      <c r="D92" s="17">
        <v>95000</v>
      </c>
      <c r="E92" s="16" t="str">
        <f>INDEX(Customers!$C$2:$C$101,MATCH(C92,Customers!$A$2:$A$101,0))</f>
        <v>Lucknow</v>
      </c>
      <c r="F92" s="16">
        <f t="shared" si="2"/>
        <v>202402</v>
      </c>
    </row>
    <row r="93" spans="1:6" x14ac:dyDescent="0.3">
      <c r="A93" s="16">
        <v>92</v>
      </c>
      <c r="B93" s="18">
        <v>45052</v>
      </c>
      <c r="C93" s="16">
        <v>80</v>
      </c>
      <c r="D93" s="17">
        <v>15000</v>
      </c>
      <c r="E93" s="16" t="str">
        <f>INDEX(Customers!$C$2:$C$101,MATCH(C93,Customers!$A$2:$A$101,0))</f>
        <v>Delhi</v>
      </c>
      <c r="F93" s="16">
        <f t="shared" si="2"/>
        <v>202305</v>
      </c>
    </row>
    <row r="94" spans="1:6" x14ac:dyDescent="0.3">
      <c r="A94" s="16">
        <v>93</v>
      </c>
      <c r="B94" s="18">
        <v>45002</v>
      </c>
      <c r="C94" s="16">
        <v>72</v>
      </c>
      <c r="D94" s="17">
        <v>80000</v>
      </c>
      <c r="E94" s="16" t="str">
        <f>INDEX(Customers!$C$2:$C$101,MATCH(C94,Customers!$A$2:$A$101,0))</f>
        <v>Hyderabad</v>
      </c>
      <c r="F94" s="16">
        <f t="shared" si="2"/>
        <v>202303</v>
      </c>
    </row>
    <row r="95" spans="1:6" x14ac:dyDescent="0.3">
      <c r="A95" s="16">
        <v>94</v>
      </c>
      <c r="B95" s="18">
        <v>45213</v>
      </c>
      <c r="C95" s="16">
        <v>40</v>
      </c>
      <c r="D95" s="17">
        <v>67000</v>
      </c>
      <c r="E95" s="16" t="str">
        <f>INDEX(Customers!$C$2:$C$101,MATCH(C95,Customers!$A$2:$A$101,0))</f>
        <v>Delhi</v>
      </c>
      <c r="F95" s="16">
        <f t="shared" si="2"/>
        <v>202310</v>
      </c>
    </row>
    <row r="96" spans="1:6" x14ac:dyDescent="0.3">
      <c r="A96" s="16">
        <v>95</v>
      </c>
      <c r="B96" s="18">
        <v>45262</v>
      </c>
      <c r="C96" s="16">
        <v>63</v>
      </c>
      <c r="D96" s="17">
        <v>40000</v>
      </c>
      <c r="E96" s="16" t="str">
        <f>INDEX(Customers!$C$2:$C$101,MATCH(C96,Customers!$A$2:$A$101,0))</f>
        <v>Bangalore</v>
      </c>
      <c r="F96" s="16">
        <f t="shared" si="2"/>
        <v>202312</v>
      </c>
    </row>
    <row r="97" spans="1:6" x14ac:dyDescent="0.3">
      <c r="A97" s="16">
        <v>96</v>
      </c>
      <c r="B97" s="18">
        <v>45234</v>
      </c>
      <c r="C97" s="16">
        <v>76</v>
      </c>
      <c r="D97" s="17">
        <v>180000</v>
      </c>
      <c r="E97" s="16" t="str">
        <f>INDEX(Customers!$C$2:$C$101,MATCH(C97,Customers!$A$2:$A$101,0))</f>
        <v>Kolkata</v>
      </c>
      <c r="F97" s="16">
        <f t="shared" si="2"/>
        <v>202311</v>
      </c>
    </row>
    <row r="98" spans="1:6" x14ac:dyDescent="0.3">
      <c r="A98" s="16">
        <v>97</v>
      </c>
      <c r="B98" s="18">
        <v>45148</v>
      </c>
      <c r="C98" s="16">
        <v>31</v>
      </c>
      <c r="D98" s="17">
        <v>84000</v>
      </c>
      <c r="E98" s="16" t="str">
        <f>INDEX(Customers!$C$2:$C$101,MATCH(C98,Customers!$A$2:$A$101,0))</f>
        <v>Mumbai</v>
      </c>
      <c r="F98" s="16">
        <f t="shared" ref="F98:F129" si="3">YEAR(B98)*100+MONTH(B98)</f>
        <v>202308</v>
      </c>
    </row>
    <row r="99" spans="1:6" x14ac:dyDescent="0.3">
      <c r="A99" s="16">
        <v>98</v>
      </c>
      <c r="B99" s="18">
        <v>45267</v>
      </c>
      <c r="C99" s="16">
        <v>42</v>
      </c>
      <c r="D99" s="17">
        <v>144000</v>
      </c>
      <c r="E99" s="16" t="str">
        <f>INDEX(Customers!$C$2:$C$101,MATCH(C99,Customers!$A$2:$A$101,0))</f>
        <v>Jaipur</v>
      </c>
      <c r="F99" s="16">
        <f t="shared" si="3"/>
        <v>202312</v>
      </c>
    </row>
    <row r="100" spans="1:6" x14ac:dyDescent="0.3">
      <c r="A100" s="16">
        <v>99</v>
      </c>
      <c r="B100" s="18">
        <v>45014</v>
      </c>
      <c r="C100" s="16">
        <v>57</v>
      </c>
      <c r="D100" s="17">
        <v>192000</v>
      </c>
      <c r="E100" s="16" t="str">
        <f>INDEX(Customers!$C$2:$C$101,MATCH(C100,Customers!$A$2:$A$101,0))</f>
        <v>Kolkata</v>
      </c>
      <c r="F100" s="16">
        <f t="shared" si="3"/>
        <v>202303</v>
      </c>
    </row>
    <row r="101" spans="1:6" x14ac:dyDescent="0.3">
      <c r="A101" s="16">
        <v>100</v>
      </c>
      <c r="B101" s="18">
        <v>45030</v>
      </c>
      <c r="C101" s="16">
        <v>57</v>
      </c>
      <c r="D101" s="17">
        <v>124000</v>
      </c>
      <c r="E101" s="16" t="str">
        <f>INDEX(Customers!$C$2:$C$101,MATCH(C101,Customers!$A$2:$A$101,0))</f>
        <v>Kolkata</v>
      </c>
      <c r="F101" s="16">
        <f t="shared" si="3"/>
        <v>202304</v>
      </c>
    </row>
    <row r="102" spans="1:6" x14ac:dyDescent="0.3">
      <c r="A102" s="16">
        <v>101</v>
      </c>
      <c r="B102" s="18">
        <v>45333</v>
      </c>
      <c r="C102" s="16">
        <v>75</v>
      </c>
      <c r="D102" s="17">
        <v>24000</v>
      </c>
      <c r="E102" s="16" t="str">
        <f>INDEX(Customers!$C$2:$C$101,MATCH(C102,Customers!$A$2:$A$101,0))</f>
        <v>Delhi</v>
      </c>
      <c r="F102" s="16">
        <f t="shared" si="3"/>
        <v>202402</v>
      </c>
    </row>
    <row r="103" spans="1:6" x14ac:dyDescent="0.3">
      <c r="A103" s="16">
        <v>102</v>
      </c>
      <c r="B103" s="18">
        <v>45027</v>
      </c>
      <c r="C103" s="16">
        <v>66</v>
      </c>
      <c r="D103" s="17">
        <v>21000</v>
      </c>
      <c r="E103" s="16" t="str">
        <f>INDEX(Customers!$C$2:$C$101,MATCH(C103,Customers!$A$2:$A$101,0))</f>
        <v>Delhi</v>
      </c>
      <c r="F103" s="16">
        <f t="shared" si="3"/>
        <v>202304</v>
      </c>
    </row>
    <row r="104" spans="1:6" x14ac:dyDescent="0.3">
      <c r="A104" s="16">
        <v>103</v>
      </c>
      <c r="B104" s="18">
        <v>45343</v>
      </c>
      <c r="C104" s="16">
        <v>45</v>
      </c>
      <c r="D104" s="17">
        <v>57000</v>
      </c>
      <c r="E104" s="16" t="str">
        <f>INDEX(Customers!$C$2:$C$101,MATCH(C104,Customers!$A$2:$A$101,0))</f>
        <v>Lucknow</v>
      </c>
      <c r="F104" s="16">
        <f t="shared" si="3"/>
        <v>202402</v>
      </c>
    </row>
    <row r="105" spans="1:6" x14ac:dyDescent="0.3">
      <c r="A105" s="16">
        <v>104</v>
      </c>
      <c r="B105" s="18">
        <v>45172</v>
      </c>
      <c r="C105" s="16">
        <v>5</v>
      </c>
      <c r="D105" s="17">
        <v>37000</v>
      </c>
      <c r="E105" s="16" t="str">
        <f>INDEX(Customers!$C$2:$C$101,MATCH(C105,Customers!$A$2:$A$101,0))</f>
        <v>Pune</v>
      </c>
      <c r="F105" s="16">
        <f t="shared" si="3"/>
        <v>202309</v>
      </c>
    </row>
    <row r="106" spans="1:6" x14ac:dyDescent="0.3">
      <c r="A106" s="16">
        <v>105</v>
      </c>
      <c r="B106" s="18">
        <v>45110</v>
      </c>
      <c r="C106" s="16">
        <v>32</v>
      </c>
      <c r="D106" s="17">
        <v>46000</v>
      </c>
      <c r="E106" s="16" t="str">
        <f>INDEX(Customers!$C$2:$C$101,MATCH(C106,Customers!$A$2:$A$101,0))</f>
        <v>Chennai</v>
      </c>
      <c r="F106" s="16">
        <f t="shared" si="3"/>
        <v>202307</v>
      </c>
    </row>
    <row r="107" spans="1:6" x14ac:dyDescent="0.3">
      <c r="A107" s="16">
        <v>106</v>
      </c>
      <c r="B107" s="18">
        <v>44996</v>
      </c>
      <c r="C107" s="16">
        <v>94</v>
      </c>
      <c r="D107" s="17">
        <v>48000</v>
      </c>
      <c r="E107" s="16" t="str">
        <f>INDEX(Customers!$C$2:$C$101,MATCH(C107,Customers!$A$2:$A$101,0))</f>
        <v>Pune</v>
      </c>
      <c r="F107" s="16">
        <f t="shared" si="3"/>
        <v>202303</v>
      </c>
    </row>
    <row r="108" spans="1:6" x14ac:dyDescent="0.3">
      <c r="A108" s="16">
        <v>107</v>
      </c>
      <c r="B108" s="18">
        <v>45104</v>
      </c>
      <c r="C108" s="16">
        <v>81</v>
      </c>
      <c r="D108" s="17">
        <v>313000</v>
      </c>
      <c r="E108" s="16" t="str">
        <f>INDEX(Customers!$C$2:$C$101,MATCH(C108,Customers!$A$2:$A$101,0))</f>
        <v>Chennai</v>
      </c>
      <c r="F108" s="16">
        <f t="shared" si="3"/>
        <v>202306</v>
      </c>
    </row>
    <row r="109" spans="1:6" x14ac:dyDescent="0.3">
      <c r="A109" s="16">
        <v>108</v>
      </c>
      <c r="B109" s="18">
        <v>45057</v>
      </c>
      <c r="C109" s="16">
        <v>35</v>
      </c>
      <c r="D109" s="17">
        <v>240000</v>
      </c>
      <c r="E109" s="16" t="str">
        <f>INDEX(Customers!$C$2:$C$101,MATCH(C109,Customers!$A$2:$A$101,0))</f>
        <v>Chennai</v>
      </c>
      <c r="F109" s="16">
        <f t="shared" si="3"/>
        <v>202305</v>
      </c>
    </row>
    <row r="110" spans="1:6" x14ac:dyDescent="0.3">
      <c r="A110" s="16">
        <v>109</v>
      </c>
      <c r="B110" s="18">
        <v>45222</v>
      </c>
      <c r="C110" s="16">
        <v>35</v>
      </c>
      <c r="D110" s="17">
        <v>223000</v>
      </c>
      <c r="E110" s="16" t="str">
        <f>INDEX(Customers!$C$2:$C$101,MATCH(C110,Customers!$A$2:$A$101,0))</f>
        <v>Chennai</v>
      </c>
      <c r="F110" s="16">
        <f t="shared" si="3"/>
        <v>202310</v>
      </c>
    </row>
    <row r="111" spans="1:6" x14ac:dyDescent="0.3">
      <c r="A111" s="16">
        <v>110</v>
      </c>
      <c r="B111" s="18">
        <v>45127</v>
      </c>
      <c r="C111" s="16">
        <v>75</v>
      </c>
      <c r="D111" s="17">
        <v>24000</v>
      </c>
      <c r="E111" s="16" t="str">
        <f>INDEX(Customers!$C$2:$C$101,MATCH(C111,Customers!$A$2:$A$101,0))</f>
        <v>Delhi</v>
      </c>
      <c r="F111" s="16">
        <f t="shared" si="3"/>
        <v>202307</v>
      </c>
    </row>
    <row r="112" spans="1:6" x14ac:dyDescent="0.3">
      <c r="A112" s="16">
        <v>111</v>
      </c>
      <c r="B112" s="18">
        <v>45244</v>
      </c>
      <c r="C112" s="16">
        <v>32</v>
      </c>
      <c r="D112" s="17">
        <v>44000</v>
      </c>
      <c r="E112" s="16" t="str">
        <f>INDEX(Customers!$C$2:$C$101,MATCH(C112,Customers!$A$2:$A$101,0))</f>
        <v>Chennai</v>
      </c>
      <c r="F112" s="16">
        <f t="shared" si="3"/>
        <v>202311</v>
      </c>
    </row>
    <row r="113" spans="1:6" x14ac:dyDescent="0.3">
      <c r="A113" s="16">
        <v>112</v>
      </c>
      <c r="B113" s="18">
        <v>45042</v>
      </c>
      <c r="C113" s="16">
        <v>93</v>
      </c>
      <c r="D113" s="17">
        <v>29000</v>
      </c>
      <c r="E113" s="16" t="str">
        <f>INDEX(Customers!$C$2:$C$101,MATCH(C113,Customers!$A$2:$A$101,0))</f>
        <v>Pune</v>
      </c>
      <c r="F113" s="16">
        <f t="shared" si="3"/>
        <v>202304</v>
      </c>
    </row>
    <row r="114" spans="1:6" x14ac:dyDescent="0.3">
      <c r="A114" s="16">
        <v>113</v>
      </c>
      <c r="B114" s="18">
        <v>45031</v>
      </c>
      <c r="C114" s="16">
        <v>61</v>
      </c>
      <c r="D114" s="17">
        <v>50000</v>
      </c>
      <c r="E114" s="16" t="str">
        <f>INDEX(Customers!$C$2:$C$101,MATCH(C114,Customers!$A$2:$A$101,0))</f>
        <v>Kolkata</v>
      </c>
      <c r="F114" s="16">
        <f t="shared" si="3"/>
        <v>202304</v>
      </c>
    </row>
    <row r="115" spans="1:6" x14ac:dyDescent="0.3">
      <c r="A115" s="16">
        <v>114</v>
      </c>
      <c r="B115" s="18">
        <v>45272</v>
      </c>
      <c r="C115" s="16">
        <v>57</v>
      </c>
      <c r="D115" s="17">
        <v>17000</v>
      </c>
      <c r="E115" s="16" t="str">
        <f>INDEX(Customers!$C$2:$C$101,MATCH(C115,Customers!$A$2:$A$101,0))</f>
        <v>Kolkata</v>
      </c>
      <c r="F115" s="16">
        <f t="shared" si="3"/>
        <v>202312</v>
      </c>
    </row>
    <row r="116" spans="1:6" x14ac:dyDescent="0.3">
      <c r="A116" s="16">
        <v>115</v>
      </c>
      <c r="B116" s="18">
        <v>45015</v>
      </c>
      <c r="C116" s="16">
        <v>30</v>
      </c>
      <c r="D116" s="17">
        <v>68000</v>
      </c>
      <c r="E116" s="16" t="str">
        <f>INDEX(Customers!$C$2:$C$101,MATCH(C116,Customers!$A$2:$A$101,0))</f>
        <v>Jaipur</v>
      </c>
      <c r="F116" s="16">
        <f t="shared" si="3"/>
        <v>202303</v>
      </c>
    </row>
    <row r="117" spans="1:6" x14ac:dyDescent="0.3">
      <c r="A117" s="16">
        <v>116</v>
      </c>
      <c r="B117" s="18">
        <v>45014</v>
      </c>
      <c r="C117" s="16">
        <v>45</v>
      </c>
      <c r="D117" s="17">
        <v>58000</v>
      </c>
      <c r="E117" s="16" t="str">
        <f>INDEX(Customers!$C$2:$C$101,MATCH(C117,Customers!$A$2:$A$101,0))</f>
        <v>Lucknow</v>
      </c>
      <c r="F117" s="16">
        <f t="shared" si="3"/>
        <v>202303</v>
      </c>
    </row>
    <row r="118" spans="1:6" x14ac:dyDescent="0.3">
      <c r="A118" s="16">
        <v>117</v>
      </c>
      <c r="B118" s="18">
        <v>45124</v>
      </c>
      <c r="C118" s="16">
        <v>19</v>
      </c>
      <c r="D118" s="17">
        <v>321000</v>
      </c>
      <c r="E118" s="16" t="str">
        <f>INDEX(Customers!$C$2:$C$101,MATCH(C118,Customers!$A$2:$A$101,0))</f>
        <v>Pune</v>
      </c>
      <c r="F118" s="16">
        <f t="shared" si="3"/>
        <v>202307</v>
      </c>
    </row>
    <row r="119" spans="1:6" x14ac:dyDescent="0.3">
      <c r="A119" s="16">
        <v>118</v>
      </c>
      <c r="B119" s="18">
        <v>45012</v>
      </c>
      <c r="C119" s="16">
        <v>94</v>
      </c>
      <c r="D119" s="17">
        <v>24000</v>
      </c>
      <c r="E119" s="16" t="str">
        <f>INDEX(Customers!$C$2:$C$101,MATCH(C119,Customers!$A$2:$A$101,0))</f>
        <v>Pune</v>
      </c>
      <c r="F119" s="16">
        <f t="shared" si="3"/>
        <v>202303</v>
      </c>
    </row>
    <row r="120" spans="1:6" x14ac:dyDescent="0.3">
      <c r="A120" s="16">
        <v>119</v>
      </c>
      <c r="B120" s="18">
        <v>45139</v>
      </c>
      <c r="C120" s="16">
        <v>17</v>
      </c>
      <c r="D120" s="17">
        <v>285000</v>
      </c>
      <c r="E120" s="16" t="str">
        <f>INDEX(Customers!$C$2:$C$101,MATCH(C120,Customers!$A$2:$A$101,0))</f>
        <v>Jaipur</v>
      </c>
      <c r="F120" s="16">
        <f t="shared" si="3"/>
        <v>202308</v>
      </c>
    </row>
    <row r="121" spans="1:6" x14ac:dyDescent="0.3">
      <c r="A121" s="16">
        <v>120</v>
      </c>
      <c r="B121" s="18">
        <v>45310</v>
      </c>
      <c r="C121" s="16">
        <v>51</v>
      </c>
      <c r="D121" s="17">
        <v>29000</v>
      </c>
      <c r="E121" s="16" t="str">
        <f>INDEX(Customers!$C$2:$C$101,MATCH(C121,Customers!$A$2:$A$101,0))</f>
        <v>Lucknow</v>
      </c>
      <c r="F121" s="16">
        <f t="shared" si="3"/>
        <v>202401</v>
      </c>
    </row>
    <row r="122" spans="1:6" x14ac:dyDescent="0.3">
      <c r="A122" s="16">
        <v>121</v>
      </c>
      <c r="B122" s="18">
        <v>45143</v>
      </c>
      <c r="C122" s="16">
        <v>50</v>
      </c>
      <c r="D122" s="17">
        <v>124000</v>
      </c>
      <c r="E122" s="16" t="str">
        <f>INDEX(Customers!$C$2:$C$101,MATCH(C122,Customers!$A$2:$A$101,0))</f>
        <v>Ahmedabad</v>
      </c>
      <c r="F122" s="16">
        <f t="shared" si="3"/>
        <v>202308</v>
      </c>
    </row>
    <row r="123" spans="1:6" x14ac:dyDescent="0.3">
      <c r="A123" s="16">
        <v>122</v>
      </c>
      <c r="B123" s="18">
        <v>45208</v>
      </c>
      <c r="C123" s="16">
        <v>90</v>
      </c>
      <c r="D123" s="17">
        <v>8000</v>
      </c>
      <c r="E123" s="16" t="str">
        <f>INDEX(Customers!$C$2:$C$101,MATCH(C123,Customers!$A$2:$A$101,0))</f>
        <v>Lucknow</v>
      </c>
      <c r="F123" s="16">
        <f t="shared" si="3"/>
        <v>202310</v>
      </c>
    </row>
    <row r="124" spans="1:6" x14ac:dyDescent="0.3">
      <c r="A124" s="16">
        <v>123</v>
      </c>
      <c r="B124" s="18">
        <v>45254</v>
      </c>
      <c r="C124" s="16">
        <v>32</v>
      </c>
      <c r="D124" s="17">
        <v>345000</v>
      </c>
      <c r="E124" s="16" t="str">
        <f>INDEX(Customers!$C$2:$C$101,MATCH(C124,Customers!$A$2:$A$101,0))</f>
        <v>Chennai</v>
      </c>
      <c r="F124" s="16">
        <f t="shared" si="3"/>
        <v>202311</v>
      </c>
    </row>
    <row r="125" spans="1:6" x14ac:dyDescent="0.3">
      <c r="A125" s="16">
        <v>124</v>
      </c>
      <c r="B125" s="18">
        <v>45310</v>
      </c>
      <c r="C125" s="16">
        <v>24</v>
      </c>
      <c r="D125" s="17">
        <v>143000</v>
      </c>
      <c r="E125" s="16" t="str">
        <f>INDEX(Customers!$C$2:$C$101,MATCH(C125,Customers!$A$2:$A$101,0))</f>
        <v>Mumbai</v>
      </c>
      <c r="F125" s="16">
        <f t="shared" si="3"/>
        <v>202401</v>
      </c>
    </row>
    <row r="126" spans="1:6" x14ac:dyDescent="0.3">
      <c r="A126" s="16">
        <v>125</v>
      </c>
      <c r="B126" s="18">
        <v>45171</v>
      </c>
      <c r="C126" s="16">
        <v>2</v>
      </c>
      <c r="D126" s="17">
        <v>68000</v>
      </c>
      <c r="E126" s="16" t="str">
        <f>INDEX(Customers!$C$2:$C$101,MATCH(C126,Customers!$A$2:$A$101,0))</f>
        <v>Chennai</v>
      </c>
      <c r="F126" s="16">
        <f t="shared" si="3"/>
        <v>202309</v>
      </c>
    </row>
    <row r="127" spans="1:6" x14ac:dyDescent="0.3">
      <c r="A127" s="16">
        <v>126</v>
      </c>
      <c r="B127" s="18">
        <v>44991</v>
      </c>
      <c r="C127" s="16">
        <v>72</v>
      </c>
      <c r="D127" s="17">
        <v>54000</v>
      </c>
      <c r="E127" s="16" t="str">
        <f>INDEX(Customers!$C$2:$C$101,MATCH(C127,Customers!$A$2:$A$101,0))</f>
        <v>Hyderabad</v>
      </c>
      <c r="F127" s="16">
        <f t="shared" si="3"/>
        <v>202303</v>
      </c>
    </row>
    <row r="128" spans="1:6" x14ac:dyDescent="0.3">
      <c r="A128" s="16">
        <v>127</v>
      </c>
      <c r="B128" s="18">
        <v>45196</v>
      </c>
      <c r="C128" s="16">
        <v>84</v>
      </c>
      <c r="D128" s="17">
        <v>129000</v>
      </c>
      <c r="E128" s="16" t="str">
        <f>INDEX(Customers!$C$2:$C$101,MATCH(C128,Customers!$A$2:$A$101,0))</f>
        <v>Delhi</v>
      </c>
      <c r="F128" s="16">
        <f t="shared" si="3"/>
        <v>202309</v>
      </c>
    </row>
    <row r="129" spans="1:6" x14ac:dyDescent="0.3">
      <c r="A129" s="16">
        <v>128</v>
      </c>
      <c r="B129" s="18">
        <v>45195</v>
      </c>
      <c r="C129" s="16">
        <v>26</v>
      </c>
      <c r="D129" s="17">
        <v>152000</v>
      </c>
      <c r="E129" s="16" t="str">
        <f>INDEX(Customers!$C$2:$C$101,MATCH(C129,Customers!$A$2:$A$101,0))</f>
        <v>Kolkata</v>
      </c>
      <c r="F129" s="16">
        <f t="shared" si="3"/>
        <v>202309</v>
      </c>
    </row>
    <row r="130" spans="1:6" x14ac:dyDescent="0.3">
      <c r="A130" s="16">
        <v>129</v>
      </c>
      <c r="B130" s="18">
        <v>45198</v>
      </c>
      <c r="C130" s="16">
        <v>33</v>
      </c>
      <c r="D130" s="17">
        <v>93000</v>
      </c>
      <c r="E130" s="16" t="str">
        <f>INDEX(Customers!$C$2:$C$101,MATCH(C130,Customers!$A$2:$A$101,0))</f>
        <v>Bangalore</v>
      </c>
      <c r="F130" s="16">
        <f t="shared" ref="F130:F161" si="4">YEAR(B130)*100+MONTH(B130)</f>
        <v>202309</v>
      </c>
    </row>
    <row r="131" spans="1:6" x14ac:dyDescent="0.3">
      <c r="A131" s="16">
        <v>130</v>
      </c>
      <c r="B131" s="18">
        <v>45016</v>
      </c>
      <c r="C131" s="16">
        <v>70</v>
      </c>
      <c r="D131" s="17">
        <v>10000</v>
      </c>
      <c r="E131" s="16" t="str">
        <f>INDEX(Customers!$C$2:$C$101,MATCH(C131,Customers!$A$2:$A$101,0))</f>
        <v>Delhi</v>
      </c>
      <c r="F131" s="16">
        <f t="shared" si="4"/>
        <v>202303</v>
      </c>
    </row>
    <row r="132" spans="1:6" x14ac:dyDescent="0.3">
      <c r="A132" s="16">
        <v>131</v>
      </c>
      <c r="B132" s="18">
        <v>45271</v>
      </c>
      <c r="C132" s="16">
        <v>84</v>
      </c>
      <c r="D132" s="17">
        <v>160000</v>
      </c>
      <c r="E132" s="16" t="str">
        <f>INDEX(Customers!$C$2:$C$101,MATCH(C132,Customers!$A$2:$A$101,0))</f>
        <v>Delhi</v>
      </c>
      <c r="F132" s="16">
        <f t="shared" si="4"/>
        <v>202312</v>
      </c>
    </row>
    <row r="133" spans="1:6" x14ac:dyDescent="0.3">
      <c r="A133" s="16">
        <v>132</v>
      </c>
      <c r="B133" s="18">
        <v>45191</v>
      </c>
      <c r="C133" s="16">
        <v>72</v>
      </c>
      <c r="D133" s="17">
        <v>91000</v>
      </c>
      <c r="E133" s="16" t="str">
        <f>INDEX(Customers!$C$2:$C$101,MATCH(C133,Customers!$A$2:$A$101,0))</f>
        <v>Hyderabad</v>
      </c>
      <c r="F133" s="16">
        <f t="shared" si="4"/>
        <v>202309</v>
      </c>
    </row>
    <row r="134" spans="1:6" x14ac:dyDescent="0.3">
      <c r="A134" s="16">
        <v>133</v>
      </c>
      <c r="B134" s="18">
        <v>45039</v>
      </c>
      <c r="C134" s="16">
        <v>84</v>
      </c>
      <c r="D134" s="17">
        <v>21000</v>
      </c>
      <c r="E134" s="16" t="str">
        <f>INDEX(Customers!$C$2:$C$101,MATCH(C134,Customers!$A$2:$A$101,0))</f>
        <v>Delhi</v>
      </c>
      <c r="F134" s="16">
        <f t="shared" si="4"/>
        <v>202304</v>
      </c>
    </row>
    <row r="135" spans="1:6" x14ac:dyDescent="0.3">
      <c r="A135" s="16">
        <v>134</v>
      </c>
      <c r="B135" s="18">
        <v>45321</v>
      </c>
      <c r="C135" s="16">
        <v>92</v>
      </c>
      <c r="D135" s="17">
        <v>187000</v>
      </c>
      <c r="E135" s="16" t="str">
        <f>INDEX(Customers!$C$2:$C$101,MATCH(C135,Customers!$A$2:$A$101,0))</f>
        <v>Hyderabad</v>
      </c>
      <c r="F135" s="16">
        <f t="shared" si="4"/>
        <v>202401</v>
      </c>
    </row>
    <row r="136" spans="1:6" x14ac:dyDescent="0.3">
      <c r="A136" s="16">
        <v>135</v>
      </c>
      <c r="B136" s="18">
        <v>45052</v>
      </c>
      <c r="C136" s="16">
        <v>33</v>
      </c>
      <c r="D136" s="17">
        <v>143000</v>
      </c>
      <c r="E136" s="16" t="str">
        <f>INDEX(Customers!$C$2:$C$101,MATCH(C136,Customers!$A$2:$A$101,0))</f>
        <v>Bangalore</v>
      </c>
      <c r="F136" s="16">
        <f t="shared" si="4"/>
        <v>202305</v>
      </c>
    </row>
    <row r="137" spans="1:6" x14ac:dyDescent="0.3">
      <c r="A137" s="16">
        <v>136</v>
      </c>
      <c r="B137" s="18">
        <v>45179</v>
      </c>
      <c r="C137" s="16">
        <v>98</v>
      </c>
      <c r="D137" s="17">
        <v>126000</v>
      </c>
      <c r="E137" s="16" t="str">
        <f>INDEX(Customers!$C$2:$C$101,MATCH(C137,Customers!$A$2:$A$101,0))</f>
        <v>Jaipur</v>
      </c>
      <c r="F137" s="16">
        <f t="shared" si="4"/>
        <v>202309</v>
      </c>
    </row>
    <row r="138" spans="1:6" x14ac:dyDescent="0.3">
      <c r="A138" s="16">
        <v>137</v>
      </c>
      <c r="B138" s="18">
        <v>45075</v>
      </c>
      <c r="C138" s="16">
        <v>2</v>
      </c>
      <c r="D138" s="17">
        <v>151000</v>
      </c>
      <c r="E138" s="16" t="str">
        <f>INDEX(Customers!$C$2:$C$101,MATCH(C138,Customers!$A$2:$A$101,0))</f>
        <v>Chennai</v>
      </c>
      <c r="F138" s="16">
        <f t="shared" si="4"/>
        <v>202305</v>
      </c>
    </row>
    <row r="139" spans="1:6" x14ac:dyDescent="0.3">
      <c r="A139" s="16">
        <v>138</v>
      </c>
      <c r="B139" s="18">
        <v>45235</v>
      </c>
      <c r="C139" s="16">
        <v>57</v>
      </c>
      <c r="D139" s="17">
        <v>83000</v>
      </c>
      <c r="E139" s="16" t="str">
        <f>INDEX(Customers!$C$2:$C$101,MATCH(C139,Customers!$A$2:$A$101,0))</f>
        <v>Kolkata</v>
      </c>
      <c r="F139" s="16">
        <f t="shared" si="4"/>
        <v>202311</v>
      </c>
    </row>
    <row r="140" spans="1:6" x14ac:dyDescent="0.3">
      <c r="A140" s="16">
        <v>139</v>
      </c>
      <c r="B140" s="18">
        <v>45138</v>
      </c>
      <c r="C140" s="16">
        <v>88</v>
      </c>
      <c r="D140" s="17">
        <v>21000</v>
      </c>
      <c r="E140" s="16" t="str">
        <f>INDEX(Customers!$C$2:$C$101,MATCH(C140,Customers!$A$2:$A$101,0))</f>
        <v>Chennai</v>
      </c>
      <c r="F140" s="16">
        <f t="shared" si="4"/>
        <v>202307</v>
      </c>
    </row>
    <row r="141" spans="1:6" x14ac:dyDescent="0.3">
      <c r="A141" s="16">
        <v>140</v>
      </c>
      <c r="B141" s="18">
        <v>45213</v>
      </c>
      <c r="C141" s="16">
        <v>92</v>
      </c>
      <c r="D141" s="17">
        <v>64000</v>
      </c>
      <c r="E141" s="16" t="str">
        <f>INDEX(Customers!$C$2:$C$101,MATCH(C141,Customers!$A$2:$A$101,0))</f>
        <v>Hyderabad</v>
      </c>
      <c r="F141" s="16">
        <f t="shared" si="4"/>
        <v>202310</v>
      </c>
    </row>
    <row r="142" spans="1:6" x14ac:dyDescent="0.3">
      <c r="A142" s="16">
        <v>141</v>
      </c>
      <c r="B142" s="18">
        <v>45131</v>
      </c>
      <c r="C142" s="16">
        <v>61</v>
      </c>
      <c r="D142" s="17">
        <v>51000</v>
      </c>
      <c r="E142" s="16" t="str">
        <f>INDEX(Customers!$C$2:$C$101,MATCH(C142,Customers!$A$2:$A$101,0))</f>
        <v>Kolkata</v>
      </c>
      <c r="F142" s="16">
        <f t="shared" si="4"/>
        <v>202307</v>
      </c>
    </row>
    <row r="143" spans="1:6" x14ac:dyDescent="0.3">
      <c r="A143" s="16">
        <v>142</v>
      </c>
      <c r="B143" s="18">
        <v>45032</v>
      </c>
      <c r="C143" s="16">
        <v>10</v>
      </c>
      <c r="D143" s="17">
        <v>50000</v>
      </c>
      <c r="E143" s="16" t="str">
        <f>INDEX(Customers!$C$2:$C$101,MATCH(C143,Customers!$A$2:$A$101,0))</f>
        <v>Ahmedabad</v>
      </c>
      <c r="F143" s="16">
        <f t="shared" si="4"/>
        <v>202304</v>
      </c>
    </row>
    <row r="144" spans="1:6" x14ac:dyDescent="0.3">
      <c r="A144" s="16">
        <v>143</v>
      </c>
      <c r="B144" s="18">
        <v>45062</v>
      </c>
      <c r="C144" s="16">
        <v>36</v>
      </c>
      <c r="D144" s="17">
        <v>33000</v>
      </c>
      <c r="E144" s="16" t="str">
        <f>INDEX(Customers!$C$2:$C$101,MATCH(C144,Customers!$A$2:$A$101,0))</f>
        <v>Lucknow</v>
      </c>
      <c r="F144" s="16">
        <f t="shared" si="4"/>
        <v>202305</v>
      </c>
    </row>
    <row r="145" spans="1:6" x14ac:dyDescent="0.3">
      <c r="A145" s="16">
        <v>144</v>
      </c>
      <c r="B145" s="18">
        <v>45092</v>
      </c>
      <c r="C145" s="16">
        <v>73</v>
      </c>
      <c r="D145" s="17">
        <v>30000</v>
      </c>
      <c r="E145" s="16" t="str">
        <f>INDEX(Customers!$C$2:$C$101,MATCH(C145,Customers!$A$2:$A$101,0))</f>
        <v>Chennai</v>
      </c>
      <c r="F145" s="16">
        <f t="shared" si="4"/>
        <v>202306</v>
      </c>
    </row>
    <row r="146" spans="1:6" x14ac:dyDescent="0.3">
      <c r="A146" s="16">
        <v>145</v>
      </c>
      <c r="B146" s="18">
        <v>45190</v>
      </c>
      <c r="C146" s="16">
        <v>52</v>
      </c>
      <c r="D146" s="17">
        <v>132000</v>
      </c>
      <c r="E146" s="16" t="str">
        <f>INDEX(Customers!$C$2:$C$101,MATCH(C146,Customers!$A$2:$A$101,0))</f>
        <v>Kolkata</v>
      </c>
      <c r="F146" s="16">
        <f t="shared" si="4"/>
        <v>202309</v>
      </c>
    </row>
    <row r="147" spans="1:6" x14ac:dyDescent="0.3">
      <c r="A147" s="16">
        <v>146</v>
      </c>
      <c r="B147" s="18">
        <v>45270</v>
      </c>
      <c r="C147" s="16">
        <v>48</v>
      </c>
      <c r="D147" s="17">
        <v>112000</v>
      </c>
      <c r="E147" s="16" t="str">
        <f>INDEX(Customers!$C$2:$C$101,MATCH(C147,Customers!$A$2:$A$101,0))</f>
        <v>Jaipur</v>
      </c>
      <c r="F147" s="16">
        <f t="shared" si="4"/>
        <v>202312</v>
      </c>
    </row>
    <row r="148" spans="1:6" x14ac:dyDescent="0.3">
      <c r="A148" s="16">
        <v>147</v>
      </c>
      <c r="B148" s="18">
        <v>45199</v>
      </c>
      <c r="C148" s="16">
        <v>10</v>
      </c>
      <c r="D148" s="17">
        <v>48000</v>
      </c>
      <c r="E148" s="16" t="str">
        <f>INDEX(Customers!$C$2:$C$101,MATCH(C148,Customers!$A$2:$A$101,0))</f>
        <v>Ahmedabad</v>
      </c>
      <c r="F148" s="16">
        <f t="shared" si="4"/>
        <v>202309</v>
      </c>
    </row>
    <row r="149" spans="1:6" x14ac:dyDescent="0.3">
      <c r="A149" s="16">
        <v>148</v>
      </c>
      <c r="B149" s="18">
        <v>45296</v>
      </c>
      <c r="C149" s="16">
        <v>24</v>
      </c>
      <c r="D149" s="17">
        <v>328000</v>
      </c>
      <c r="E149" s="16" t="str">
        <f>INDEX(Customers!$C$2:$C$101,MATCH(C149,Customers!$A$2:$A$101,0))</f>
        <v>Mumbai</v>
      </c>
      <c r="F149" s="16">
        <f t="shared" si="4"/>
        <v>202401</v>
      </c>
    </row>
    <row r="150" spans="1:6" x14ac:dyDescent="0.3">
      <c r="A150" s="16">
        <v>149</v>
      </c>
      <c r="B150" s="18">
        <v>45320</v>
      </c>
      <c r="C150" s="16">
        <v>63</v>
      </c>
      <c r="D150" s="17">
        <v>120000</v>
      </c>
      <c r="E150" s="16" t="str">
        <f>INDEX(Customers!$C$2:$C$101,MATCH(C150,Customers!$A$2:$A$101,0))</f>
        <v>Bangalore</v>
      </c>
      <c r="F150" s="16">
        <f t="shared" si="4"/>
        <v>202401</v>
      </c>
    </row>
    <row r="151" spans="1:6" x14ac:dyDescent="0.3">
      <c r="A151" s="16">
        <v>150</v>
      </c>
      <c r="B151" s="18">
        <v>45207</v>
      </c>
      <c r="C151" s="16">
        <v>49</v>
      </c>
      <c r="D151" s="17">
        <v>121000</v>
      </c>
      <c r="E151" s="16" t="str">
        <f>INDEX(Customers!$C$2:$C$101,MATCH(C151,Customers!$A$2:$A$101,0))</f>
        <v>Pune</v>
      </c>
      <c r="F151" s="16">
        <f t="shared" si="4"/>
        <v>202310</v>
      </c>
    </row>
    <row r="152" spans="1:6" x14ac:dyDescent="0.3">
      <c r="A152" s="16">
        <v>151</v>
      </c>
      <c r="B152" s="18">
        <v>45261</v>
      </c>
      <c r="C152" s="16">
        <v>14</v>
      </c>
      <c r="D152" s="17">
        <v>8000</v>
      </c>
      <c r="E152" s="16" t="str">
        <f>INDEX(Customers!$C$2:$C$101,MATCH(C152,Customers!$A$2:$A$101,0))</f>
        <v>Lucknow</v>
      </c>
      <c r="F152" s="16">
        <f t="shared" si="4"/>
        <v>202312</v>
      </c>
    </row>
    <row r="153" spans="1:6" x14ac:dyDescent="0.3">
      <c r="A153" s="16">
        <v>152</v>
      </c>
      <c r="B153" s="18">
        <v>45268</v>
      </c>
      <c r="C153" s="16">
        <v>41</v>
      </c>
      <c r="D153" s="17">
        <v>36000</v>
      </c>
      <c r="E153" s="16" t="str">
        <f>INDEX(Customers!$C$2:$C$101,MATCH(C153,Customers!$A$2:$A$101,0))</f>
        <v>Hyderabad</v>
      </c>
      <c r="F153" s="16">
        <f t="shared" si="4"/>
        <v>202312</v>
      </c>
    </row>
    <row r="154" spans="1:6" x14ac:dyDescent="0.3">
      <c r="A154" s="16">
        <v>153</v>
      </c>
      <c r="B154" s="18">
        <v>45200</v>
      </c>
      <c r="C154" s="16">
        <v>4</v>
      </c>
      <c r="D154" s="17">
        <v>33000</v>
      </c>
      <c r="E154" s="16" t="str">
        <f>INDEX(Customers!$C$2:$C$101,MATCH(C154,Customers!$A$2:$A$101,0))</f>
        <v>Pune</v>
      </c>
      <c r="F154" s="16">
        <f t="shared" si="4"/>
        <v>202310</v>
      </c>
    </row>
    <row r="155" spans="1:6" x14ac:dyDescent="0.3">
      <c r="A155" s="16">
        <v>154</v>
      </c>
      <c r="B155" s="18">
        <v>44996</v>
      </c>
      <c r="C155" s="16">
        <v>14</v>
      </c>
      <c r="D155" s="17">
        <v>88000</v>
      </c>
      <c r="E155" s="16" t="str">
        <f>INDEX(Customers!$C$2:$C$101,MATCH(C155,Customers!$A$2:$A$101,0))</f>
        <v>Lucknow</v>
      </c>
      <c r="F155" s="16">
        <f t="shared" si="4"/>
        <v>202303</v>
      </c>
    </row>
    <row r="156" spans="1:6" x14ac:dyDescent="0.3">
      <c r="A156" s="16">
        <v>155</v>
      </c>
      <c r="B156" s="18">
        <v>45020</v>
      </c>
      <c r="C156" s="16">
        <v>18</v>
      </c>
      <c r="D156" s="17">
        <v>44000</v>
      </c>
      <c r="E156" s="16" t="str">
        <f>INDEX(Customers!$C$2:$C$101,MATCH(C156,Customers!$A$2:$A$101,0))</f>
        <v>Jaipur</v>
      </c>
      <c r="F156" s="16">
        <f t="shared" si="4"/>
        <v>202304</v>
      </c>
    </row>
    <row r="157" spans="1:6" x14ac:dyDescent="0.3">
      <c r="A157" s="16">
        <v>156</v>
      </c>
      <c r="B157" s="18">
        <v>45117</v>
      </c>
      <c r="C157" s="16">
        <v>41</v>
      </c>
      <c r="D157" s="17">
        <v>201000</v>
      </c>
      <c r="E157" s="16" t="str">
        <f>INDEX(Customers!$C$2:$C$101,MATCH(C157,Customers!$A$2:$A$101,0))</f>
        <v>Hyderabad</v>
      </c>
      <c r="F157" s="16">
        <f t="shared" si="4"/>
        <v>202307</v>
      </c>
    </row>
    <row r="158" spans="1:6" x14ac:dyDescent="0.3">
      <c r="A158" s="16">
        <v>157</v>
      </c>
      <c r="B158" s="18">
        <v>45223</v>
      </c>
      <c r="C158" s="16">
        <v>29</v>
      </c>
      <c r="D158" s="17">
        <v>145000</v>
      </c>
      <c r="E158" s="16" t="str">
        <f>INDEX(Customers!$C$2:$C$101,MATCH(C158,Customers!$A$2:$A$101,0))</f>
        <v>Chennai</v>
      </c>
      <c r="F158" s="16">
        <f t="shared" si="4"/>
        <v>202310</v>
      </c>
    </row>
    <row r="159" spans="1:6" x14ac:dyDescent="0.3">
      <c r="A159" s="16">
        <v>158</v>
      </c>
      <c r="B159" s="18">
        <v>45118</v>
      </c>
      <c r="C159" s="16">
        <v>57</v>
      </c>
      <c r="D159" s="17">
        <v>21000</v>
      </c>
      <c r="E159" s="16" t="str">
        <f>INDEX(Customers!$C$2:$C$101,MATCH(C159,Customers!$A$2:$A$101,0))</f>
        <v>Kolkata</v>
      </c>
      <c r="F159" s="16">
        <f t="shared" si="4"/>
        <v>202307</v>
      </c>
    </row>
    <row r="160" spans="1:6" x14ac:dyDescent="0.3">
      <c r="A160" s="16">
        <v>159</v>
      </c>
      <c r="B160" s="18">
        <v>45041</v>
      </c>
      <c r="C160" s="16">
        <v>54</v>
      </c>
      <c r="D160" s="17">
        <v>5000</v>
      </c>
      <c r="E160" s="16" t="str">
        <f>INDEX(Customers!$C$2:$C$101,MATCH(C160,Customers!$A$2:$A$101,0))</f>
        <v>Delhi</v>
      </c>
      <c r="F160" s="16">
        <f t="shared" si="4"/>
        <v>202304</v>
      </c>
    </row>
    <row r="161" spans="1:6" x14ac:dyDescent="0.3">
      <c r="A161" s="16">
        <v>160</v>
      </c>
      <c r="B161" s="18">
        <v>45288</v>
      </c>
      <c r="C161" s="16">
        <v>38</v>
      </c>
      <c r="D161" s="17">
        <v>305000</v>
      </c>
      <c r="E161" s="16" t="str">
        <f>INDEX(Customers!$C$2:$C$101,MATCH(C161,Customers!$A$2:$A$101,0))</f>
        <v>Ahmedabad</v>
      </c>
      <c r="F161" s="16">
        <f t="shared" si="4"/>
        <v>202312</v>
      </c>
    </row>
    <row r="162" spans="1:6" x14ac:dyDescent="0.3">
      <c r="A162" s="16">
        <v>161</v>
      </c>
      <c r="B162" s="18">
        <v>45006</v>
      </c>
      <c r="C162" s="16">
        <v>86</v>
      </c>
      <c r="D162" s="17">
        <v>6000</v>
      </c>
      <c r="E162" s="16" t="str">
        <f>INDEX(Customers!$C$2:$C$101,MATCH(C162,Customers!$A$2:$A$101,0))</f>
        <v>Jaipur</v>
      </c>
      <c r="F162" s="16">
        <f t="shared" ref="F162:F193" si="5">YEAR(B162)*100+MONTH(B162)</f>
        <v>202303</v>
      </c>
    </row>
    <row r="163" spans="1:6" x14ac:dyDescent="0.3">
      <c r="A163" s="16">
        <v>162</v>
      </c>
      <c r="B163" s="18">
        <v>45071</v>
      </c>
      <c r="C163" s="16">
        <v>66</v>
      </c>
      <c r="D163" s="17">
        <v>62000</v>
      </c>
      <c r="E163" s="16" t="str">
        <f>INDEX(Customers!$C$2:$C$101,MATCH(C163,Customers!$A$2:$A$101,0))</f>
        <v>Delhi</v>
      </c>
      <c r="F163" s="16">
        <f t="shared" si="5"/>
        <v>202305</v>
      </c>
    </row>
    <row r="164" spans="1:6" x14ac:dyDescent="0.3">
      <c r="A164" s="16">
        <v>163</v>
      </c>
      <c r="B164" s="18">
        <v>45257</v>
      </c>
      <c r="C164" s="16">
        <v>54</v>
      </c>
      <c r="D164" s="17">
        <v>96000</v>
      </c>
      <c r="E164" s="16" t="str">
        <f>INDEX(Customers!$C$2:$C$101,MATCH(C164,Customers!$A$2:$A$101,0))</f>
        <v>Delhi</v>
      </c>
      <c r="F164" s="16">
        <f t="shared" si="5"/>
        <v>202311</v>
      </c>
    </row>
    <row r="165" spans="1:6" x14ac:dyDescent="0.3">
      <c r="A165" s="16">
        <v>164</v>
      </c>
      <c r="B165" s="18">
        <v>45235</v>
      </c>
      <c r="C165" s="16">
        <v>32</v>
      </c>
      <c r="D165" s="17">
        <v>156000</v>
      </c>
      <c r="E165" s="16" t="str">
        <f>INDEX(Customers!$C$2:$C$101,MATCH(C165,Customers!$A$2:$A$101,0))</f>
        <v>Chennai</v>
      </c>
      <c r="F165" s="16">
        <f t="shared" si="5"/>
        <v>202311</v>
      </c>
    </row>
    <row r="166" spans="1:6" x14ac:dyDescent="0.3">
      <c r="A166" s="16">
        <v>165</v>
      </c>
      <c r="B166" s="18">
        <v>45194</v>
      </c>
      <c r="C166" s="16">
        <v>22</v>
      </c>
      <c r="D166" s="17">
        <v>62000</v>
      </c>
      <c r="E166" s="16" t="str">
        <f>INDEX(Customers!$C$2:$C$101,MATCH(C166,Customers!$A$2:$A$101,0))</f>
        <v>Ahmedabad</v>
      </c>
      <c r="F166" s="16">
        <f t="shared" si="5"/>
        <v>202309</v>
      </c>
    </row>
    <row r="167" spans="1:6" x14ac:dyDescent="0.3">
      <c r="A167" s="16">
        <v>166</v>
      </c>
      <c r="B167" s="18">
        <v>45285</v>
      </c>
      <c r="C167" s="16">
        <v>71</v>
      </c>
      <c r="D167" s="17">
        <v>128000</v>
      </c>
      <c r="E167" s="16" t="str">
        <f>INDEX(Customers!$C$2:$C$101,MATCH(C167,Customers!$A$2:$A$101,0))</f>
        <v>Bangalore</v>
      </c>
      <c r="F167" s="16">
        <f t="shared" si="5"/>
        <v>202312</v>
      </c>
    </row>
    <row r="168" spans="1:6" x14ac:dyDescent="0.3">
      <c r="A168" s="16">
        <v>167</v>
      </c>
      <c r="B168" s="18">
        <v>45171</v>
      </c>
      <c r="C168" s="16">
        <v>61</v>
      </c>
      <c r="D168" s="17">
        <v>53000</v>
      </c>
      <c r="E168" s="16" t="str">
        <f>INDEX(Customers!$C$2:$C$101,MATCH(C168,Customers!$A$2:$A$101,0))</f>
        <v>Kolkata</v>
      </c>
      <c r="F168" s="16">
        <f t="shared" si="5"/>
        <v>202309</v>
      </c>
    </row>
    <row r="169" spans="1:6" x14ac:dyDescent="0.3">
      <c r="A169" s="16">
        <v>168</v>
      </c>
      <c r="B169" s="18">
        <v>45194</v>
      </c>
      <c r="C169" s="16">
        <v>100</v>
      </c>
      <c r="D169" s="17">
        <v>330000</v>
      </c>
      <c r="E169" s="16" t="str">
        <f>INDEX(Customers!$C$2:$C$101,MATCH(C169,Customers!$A$2:$A$101,0))</f>
        <v>Bangalore</v>
      </c>
      <c r="F169" s="16">
        <f t="shared" si="5"/>
        <v>202309</v>
      </c>
    </row>
    <row r="170" spans="1:6" x14ac:dyDescent="0.3">
      <c r="A170" s="16">
        <v>169</v>
      </c>
      <c r="B170" s="18">
        <v>45065</v>
      </c>
      <c r="C170" s="16">
        <v>11</v>
      </c>
      <c r="D170" s="17">
        <v>40000</v>
      </c>
      <c r="E170" s="16" t="str">
        <f>INDEX(Customers!$C$2:$C$101,MATCH(C170,Customers!$A$2:$A$101,0))</f>
        <v>Lucknow</v>
      </c>
      <c r="F170" s="16">
        <f t="shared" si="5"/>
        <v>202305</v>
      </c>
    </row>
    <row r="171" spans="1:6" x14ac:dyDescent="0.3">
      <c r="A171" s="16">
        <v>170</v>
      </c>
      <c r="B171" s="18">
        <v>45339</v>
      </c>
      <c r="C171" s="16">
        <v>37</v>
      </c>
      <c r="D171" s="17">
        <v>24000</v>
      </c>
      <c r="E171" s="16" t="str">
        <f>INDEX(Customers!$C$2:$C$101,MATCH(C171,Customers!$A$2:$A$101,0))</f>
        <v>Delhi</v>
      </c>
      <c r="F171" s="16">
        <f t="shared" si="5"/>
        <v>202402</v>
      </c>
    </row>
    <row r="172" spans="1:6" x14ac:dyDescent="0.3">
      <c r="A172" s="16">
        <v>171</v>
      </c>
      <c r="B172" s="18">
        <v>45309</v>
      </c>
      <c r="C172" s="16">
        <v>68</v>
      </c>
      <c r="D172" s="17">
        <v>3000</v>
      </c>
      <c r="E172" s="16" t="str">
        <f>INDEX(Customers!$C$2:$C$101,MATCH(C172,Customers!$A$2:$A$101,0))</f>
        <v>Chennai</v>
      </c>
      <c r="F172" s="16">
        <f t="shared" si="5"/>
        <v>202401</v>
      </c>
    </row>
    <row r="173" spans="1:6" x14ac:dyDescent="0.3">
      <c r="A173" s="16">
        <v>172</v>
      </c>
      <c r="B173" s="18">
        <v>45083</v>
      </c>
      <c r="C173" s="16">
        <v>32</v>
      </c>
      <c r="D173" s="17">
        <v>66000</v>
      </c>
      <c r="E173" s="16" t="str">
        <f>INDEX(Customers!$C$2:$C$101,MATCH(C173,Customers!$A$2:$A$101,0))</f>
        <v>Chennai</v>
      </c>
      <c r="F173" s="16">
        <f t="shared" si="5"/>
        <v>202306</v>
      </c>
    </row>
    <row r="174" spans="1:6" x14ac:dyDescent="0.3">
      <c r="A174" s="16">
        <v>173</v>
      </c>
      <c r="B174" s="18">
        <v>45001</v>
      </c>
      <c r="C174" s="16">
        <v>7</v>
      </c>
      <c r="D174" s="17">
        <v>8000</v>
      </c>
      <c r="E174" s="16" t="str">
        <f>INDEX(Customers!$C$2:$C$101,MATCH(C174,Customers!$A$2:$A$101,0))</f>
        <v>Chennai</v>
      </c>
      <c r="F174" s="16">
        <f t="shared" si="5"/>
        <v>202303</v>
      </c>
    </row>
    <row r="175" spans="1:6" x14ac:dyDescent="0.3">
      <c r="A175" s="16">
        <v>174</v>
      </c>
      <c r="B175" s="18">
        <v>45274</v>
      </c>
      <c r="C175" s="16">
        <v>84</v>
      </c>
      <c r="D175" s="17">
        <v>216000</v>
      </c>
      <c r="E175" s="16" t="str">
        <f>INDEX(Customers!$C$2:$C$101,MATCH(C175,Customers!$A$2:$A$101,0))</f>
        <v>Delhi</v>
      </c>
      <c r="F175" s="16">
        <f t="shared" si="5"/>
        <v>202312</v>
      </c>
    </row>
    <row r="176" spans="1:6" x14ac:dyDescent="0.3">
      <c r="A176" s="16">
        <v>175</v>
      </c>
      <c r="B176" s="18">
        <v>45123</v>
      </c>
      <c r="C176" s="16">
        <v>91</v>
      </c>
      <c r="D176" s="17">
        <v>228000</v>
      </c>
      <c r="E176" s="16" t="str">
        <f>INDEX(Customers!$C$2:$C$101,MATCH(C176,Customers!$A$2:$A$101,0))</f>
        <v>Jaipur</v>
      </c>
      <c r="F176" s="16">
        <f t="shared" si="5"/>
        <v>202307</v>
      </c>
    </row>
    <row r="177" spans="1:6" x14ac:dyDescent="0.3">
      <c r="A177" s="16">
        <v>176</v>
      </c>
      <c r="B177" s="18">
        <v>45157</v>
      </c>
      <c r="C177" s="16">
        <v>25</v>
      </c>
      <c r="D177" s="17">
        <v>60000</v>
      </c>
      <c r="E177" s="16" t="str">
        <f>INDEX(Customers!$C$2:$C$101,MATCH(C177,Customers!$A$2:$A$101,0))</f>
        <v>Ahmedabad</v>
      </c>
      <c r="F177" s="16">
        <f t="shared" si="5"/>
        <v>202308</v>
      </c>
    </row>
    <row r="178" spans="1:6" x14ac:dyDescent="0.3">
      <c r="A178" s="16">
        <v>177</v>
      </c>
      <c r="B178" s="18">
        <v>45127</v>
      </c>
      <c r="C178" s="16">
        <v>51</v>
      </c>
      <c r="D178" s="17">
        <v>145000</v>
      </c>
      <c r="E178" s="16" t="str">
        <f>INDEX(Customers!$C$2:$C$101,MATCH(C178,Customers!$A$2:$A$101,0))</f>
        <v>Lucknow</v>
      </c>
      <c r="F178" s="16">
        <f t="shared" si="5"/>
        <v>202307</v>
      </c>
    </row>
    <row r="179" spans="1:6" x14ac:dyDescent="0.3">
      <c r="A179" s="16">
        <v>178</v>
      </c>
      <c r="B179" s="18">
        <v>45285</v>
      </c>
      <c r="C179" s="16">
        <v>88</v>
      </c>
      <c r="D179" s="17">
        <v>69000</v>
      </c>
      <c r="E179" s="16" t="str">
        <f>INDEX(Customers!$C$2:$C$101,MATCH(C179,Customers!$A$2:$A$101,0))</f>
        <v>Chennai</v>
      </c>
      <c r="F179" s="16">
        <f t="shared" si="5"/>
        <v>202312</v>
      </c>
    </row>
    <row r="180" spans="1:6" x14ac:dyDescent="0.3">
      <c r="A180" s="16">
        <v>179</v>
      </c>
      <c r="B180" s="18">
        <v>45214</v>
      </c>
      <c r="C180" s="16">
        <v>41</v>
      </c>
      <c r="D180" s="17">
        <v>82000</v>
      </c>
      <c r="E180" s="16" t="str">
        <f>INDEX(Customers!$C$2:$C$101,MATCH(C180,Customers!$A$2:$A$101,0))</f>
        <v>Hyderabad</v>
      </c>
      <c r="F180" s="16">
        <f t="shared" si="5"/>
        <v>202310</v>
      </c>
    </row>
    <row r="181" spans="1:6" x14ac:dyDescent="0.3">
      <c r="A181" s="16">
        <v>180</v>
      </c>
      <c r="B181" s="18">
        <v>45211</v>
      </c>
      <c r="C181" s="16">
        <v>51</v>
      </c>
      <c r="D181" s="17">
        <v>60000</v>
      </c>
      <c r="E181" s="16" t="str">
        <f>INDEX(Customers!$C$2:$C$101,MATCH(C181,Customers!$A$2:$A$101,0))</f>
        <v>Lucknow</v>
      </c>
      <c r="F181" s="16">
        <f t="shared" si="5"/>
        <v>202310</v>
      </c>
    </row>
    <row r="182" spans="1:6" x14ac:dyDescent="0.3">
      <c r="A182" s="16">
        <v>181</v>
      </c>
      <c r="B182" s="18">
        <v>45145</v>
      </c>
      <c r="C182" s="16">
        <v>100</v>
      </c>
      <c r="D182" s="17">
        <v>276000</v>
      </c>
      <c r="E182" s="16" t="str">
        <f>INDEX(Customers!$C$2:$C$101,MATCH(C182,Customers!$A$2:$A$101,0))</f>
        <v>Bangalore</v>
      </c>
      <c r="F182" s="16">
        <f t="shared" si="5"/>
        <v>202308</v>
      </c>
    </row>
    <row r="183" spans="1:6" x14ac:dyDescent="0.3">
      <c r="A183" s="16">
        <v>182</v>
      </c>
      <c r="B183" s="18">
        <v>45083</v>
      </c>
      <c r="C183" s="16">
        <v>90</v>
      </c>
      <c r="D183" s="17">
        <v>172000</v>
      </c>
      <c r="E183" s="16" t="str">
        <f>INDEX(Customers!$C$2:$C$101,MATCH(C183,Customers!$A$2:$A$101,0))</f>
        <v>Lucknow</v>
      </c>
      <c r="F183" s="16">
        <f t="shared" si="5"/>
        <v>202306</v>
      </c>
    </row>
    <row r="184" spans="1:6" x14ac:dyDescent="0.3">
      <c r="A184" s="16">
        <v>183</v>
      </c>
      <c r="B184" s="18">
        <v>45146</v>
      </c>
      <c r="C184" s="16">
        <v>13</v>
      </c>
      <c r="D184" s="17">
        <v>46000</v>
      </c>
      <c r="E184" s="16" t="str">
        <f>INDEX(Customers!$C$2:$C$101,MATCH(C184,Customers!$A$2:$A$101,0))</f>
        <v>Ahmedabad</v>
      </c>
      <c r="F184" s="16">
        <f t="shared" si="5"/>
        <v>202308</v>
      </c>
    </row>
    <row r="185" spans="1:6" x14ac:dyDescent="0.3">
      <c r="A185" s="16">
        <v>184</v>
      </c>
      <c r="B185" s="18">
        <v>45115</v>
      </c>
      <c r="C185" s="16">
        <v>44</v>
      </c>
      <c r="D185" s="17">
        <v>35000</v>
      </c>
      <c r="E185" s="16" t="str">
        <f>INDEX(Customers!$C$2:$C$101,MATCH(C185,Customers!$A$2:$A$101,0))</f>
        <v>Hyderabad</v>
      </c>
      <c r="F185" s="16">
        <f t="shared" si="5"/>
        <v>202307</v>
      </c>
    </row>
    <row r="186" spans="1:6" x14ac:dyDescent="0.3">
      <c r="A186" s="16">
        <v>185</v>
      </c>
      <c r="B186" s="18">
        <v>45212</v>
      </c>
      <c r="C186" s="16">
        <v>38</v>
      </c>
      <c r="D186" s="17">
        <v>69000</v>
      </c>
      <c r="E186" s="16" t="str">
        <f>INDEX(Customers!$C$2:$C$101,MATCH(C186,Customers!$A$2:$A$101,0))</f>
        <v>Ahmedabad</v>
      </c>
      <c r="F186" s="16">
        <f t="shared" si="5"/>
        <v>202310</v>
      </c>
    </row>
    <row r="187" spans="1:6" x14ac:dyDescent="0.3">
      <c r="A187" s="16">
        <v>186</v>
      </c>
      <c r="B187" s="18">
        <v>45185</v>
      </c>
      <c r="C187" s="16">
        <v>98</v>
      </c>
      <c r="D187" s="17">
        <v>104000</v>
      </c>
      <c r="E187" s="16" t="str">
        <f>INDEX(Customers!$C$2:$C$101,MATCH(C187,Customers!$A$2:$A$101,0))</f>
        <v>Jaipur</v>
      </c>
      <c r="F187" s="16">
        <f t="shared" si="5"/>
        <v>202309</v>
      </c>
    </row>
    <row r="188" spans="1:6" x14ac:dyDescent="0.3">
      <c r="A188" s="16">
        <v>187</v>
      </c>
      <c r="B188" s="18">
        <v>45093</v>
      </c>
      <c r="C188" s="16">
        <v>60</v>
      </c>
      <c r="D188" s="17">
        <v>21000</v>
      </c>
      <c r="E188" s="16" t="str">
        <f>INDEX(Customers!$C$2:$C$101,MATCH(C188,Customers!$A$2:$A$101,0))</f>
        <v>Hyderabad</v>
      </c>
      <c r="F188" s="16">
        <f t="shared" si="5"/>
        <v>202306</v>
      </c>
    </row>
    <row r="189" spans="1:6" x14ac:dyDescent="0.3">
      <c r="A189" s="16">
        <v>188</v>
      </c>
      <c r="B189" s="18">
        <v>45108</v>
      </c>
      <c r="C189" s="16">
        <v>51</v>
      </c>
      <c r="D189" s="17">
        <v>384000</v>
      </c>
      <c r="E189" s="16" t="str">
        <f>INDEX(Customers!$C$2:$C$101,MATCH(C189,Customers!$A$2:$A$101,0))</f>
        <v>Lucknow</v>
      </c>
      <c r="F189" s="16">
        <f t="shared" si="5"/>
        <v>202307</v>
      </c>
    </row>
    <row r="190" spans="1:6" x14ac:dyDescent="0.3">
      <c r="A190" s="16">
        <v>189</v>
      </c>
      <c r="B190" s="18">
        <v>45285</v>
      </c>
      <c r="C190" s="16">
        <v>86</v>
      </c>
      <c r="D190" s="17">
        <v>12000</v>
      </c>
      <c r="E190" s="16" t="str">
        <f>INDEX(Customers!$C$2:$C$101,MATCH(C190,Customers!$A$2:$A$101,0))</f>
        <v>Jaipur</v>
      </c>
      <c r="F190" s="16">
        <f t="shared" si="5"/>
        <v>202312</v>
      </c>
    </row>
    <row r="191" spans="1:6" x14ac:dyDescent="0.3">
      <c r="A191" s="16">
        <v>190</v>
      </c>
      <c r="B191" s="18">
        <v>45135</v>
      </c>
      <c r="C191" s="16">
        <v>37</v>
      </c>
      <c r="D191" s="17">
        <v>125000</v>
      </c>
      <c r="E191" s="16" t="str">
        <f>INDEX(Customers!$C$2:$C$101,MATCH(C191,Customers!$A$2:$A$101,0))</f>
        <v>Delhi</v>
      </c>
      <c r="F191" s="16">
        <f t="shared" si="5"/>
        <v>202307</v>
      </c>
    </row>
    <row r="192" spans="1:6" x14ac:dyDescent="0.3">
      <c r="A192" s="16">
        <v>191</v>
      </c>
      <c r="B192" s="18">
        <v>45301</v>
      </c>
      <c r="C192" s="16">
        <v>53</v>
      </c>
      <c r="D192" s="17">
        <v>14000</v>
      </c>
      <c r="E192" s="16" t="str">
        <f>INDEX(Customers!$C$2:$C$101,MATCH(C192,Customers!$A$2:$A$101,0))</f>
        <v>Ahmedabad</v>
      </c>
      <c r="F192" s="16">
        <f t="shared" si="5"/>
        <v>202401</v>
      </c>
    </row>
    <row r="193" spans="1:6" x14ac:dyDescent="0.3">
      <c r="A193" s="16">
        <v>192</v>
      </c>
      <c r="B193" s="18">
        <v>45161</v>
      </c>
      <c r="C193" s="16">
        <v>43</v>
      </c>
      <c r="D193" s="17">
        <v>40000</v>
      </c>
      <c r="E193" s="16" t="str">
        <f>INDEX(Customers!$C$2:$C$101,MATCH(C193,Customers!$A$2:$A$101,0))</f>
        <v>Bangalore</v>
      </c>
      <c r="F193" s="16">
        <f t="shared" si="5"/>
        <v>202308</v>
      </c>
    </row>
    <row r="194" spans="1:6" x14ac:dyDescent="0.3">
      <c r="A194" s="16">
        <v>193</v>
      </c>
      <c r="B194" s="18">
        <v>45216</v>
      </c>
      <c r="C194" s="16">
        <v>1</v>
      </c>
      <c r="D194" s="17">
        <v>61000</v>
      </c>
      <c r="E194" s="16" t="str">
        <f>INDEX(Customers!$C$2:$C$101,MATCH(C194,Customers!$A$2:$A$101,0))</f>
        <v>Delhi</v>
      </c>
      <c r="F194" s="16">
        <f t="shared" ref="F194:F201" si="6">YEAR(B194)*100+MONTH(B194)</f>
        <v>202310</v>
      </c>
    </row>
    <row r="195" spans="1:6" x14ac:dyDescent="0.3">
      <c r="A195" s="16">
        <v>194</v>
      </c>
      <c r="B195" s="18">
        <v>45291</v>
      </c>
      <c r="C195" s="16">
        <v>75</v>
      </c>
      <c r="D195" s="17">
        <v>78000</v>
      </c>
      <c r="E195" s="16" t="str">
        <f>INDEX(Customers!$C$2:$C$101,MATCH(C195,Customers!$A$2:$A$101,0))</f>
        <v>Delhi</v>
      </c>
      <c r="F195" s="16">
        <f t="shared" si="6"/>
        <v>202312</v>
      </c>
    </row>
    <row r="196" spans="1:6" x14ac:dyDescent="0.3">
      <c r="A196" s="16">
        <v>195</v>
      </c>
      <c r="B196" s="18">
        <v>45120</v>
      </c>
      <c r="C196" s="16">
        <v>32</v>
      </c>
      <c r="D196" s="17">
        <v>232000</v>
      </c>
      <c r="E196" s="16" t="str">
        <f>INDEX(Customers!$C$2:$C$101,MATCH(C196,Customers!$A$2:$A$101,0))</f>
        <v>Chennai</v>
      </c>
      <c r="F196" s="16">
        <f t="shared" si="6"/>
        <v>202307</v>
      </c>
    </row>
    <row r="197" spans="1:6" x14ac:dyDescent="0.3">
      <c r="A197" s="16">
        <v>196</v>
      </c>
      <c r="B197" s="18">
        <v>45032</v>
      </c>
      <c r="C197" s="16">
        <v>87</v>
      </c>
      <c r="D197" s="17">
        <v>126000</v>
      </c>
      <c r="E197" s="16" t="str">
        <f>INDEX(Customers!$C$2:$C$101,MATCH(C197,Customers!$A$2:$A$101,0))</f>
        <v>Chennai</v>
      </c>
      <c r="F197" s="16">
        <f t="shared" si="6"/>
        <v>202304</v>
      </c>
    </row>
    <row r="198" spans="1:6" x14ac:dyDescent="0.3">
      <c r="A198" s="16">
        <v>197</v>
      </c>
      <c r="B198" s="18">
        <v>45079</v>
      </c>
      <c r="C198" s="16">
        <v>78</v>
      </c>
      <c r="D198" s="17">
        <v>120000</v>
      </c>
      <c r="E198" s="16" t="str">
        <f>INDEX(Customers!$C$2:$C$101,MATCH(C198,Customers!$A$2:$A$101,0))</f>
        <v>Chennai</v>
      </c>
      <c r="F198" s="16">
        <f t="shared" si="6"/>
        <v>202306</v>
      </c>
    </row>
    <row r="199" spans="1:6" x14ac:dyDescent="0.3">
      <c r="A199" s="16">
        <v>198</v>
      </c>
      <c r="B199" s="18">
        <v>45186</v>
      </c>
      <c r="C199" s="16">
        <v>60</v>
      </c>
      <c r="D199" s="17">
        <v>151000</v>
      </c>
      <c r="E199" s="16" t="str">
        <f>INDEX(Customers!$C$2:$C$101,MATCH(C199,Customers!$A$2:$A$101,0))</f>
        <v>Hyderabad</v>
      </c>
      <c r="F199" s="16">
        <f t="shared" si="6"/>
        <v>202309</v>
      </c>
    </row>
    <row r="200" spans="1:6" x14ac:dyDescent="0.3">
      <c r="A200" s="16">
        <v>199</v>
      </c>
      <c r="B200" s="18">
        <v>45191</v>
      </c>
      <c r="C200" s="16">
        <v>69</v>
      </c>
      <c r="D200" s="17">
        <v>23000</v>
      </c>
      <c r="E200" s="16" t="str">
        <f>INDEX(Customers!$C$2:$C$101,MATCH(C200,Customers!$A$2:$A$101,0))</f>
        <v>Kolkata</v>
      </c>
      <c r="F200" s="16">
        <f t="shared" si="6"/>
        <v>202309</v>
      </c>
    </row>
    <row r="201" spans="1:6" x14ac:dyDescent="0.3">
      <c r="A201" s="16">
        <v>200</v>
      </c>
      <c r="B201" s="18">
        <v>45092</v>
      </c>
      <c r="C201" s="16">
        <v>4</v>
      </c>
      <c r="D201" s="17">
        <v>151000</v>
      </c>
      <c r="E201" s="16" t="str">
        <f>INDEX(Customers!$C$2:$C$101,MATCH(C201,Customers!$A$2:$A$101,0))</f>
        <v>Pune</v>
      </c>
      <c r="F201" s="16">
        <f t="shared" si="6"/>
        <v>202306</v>
      </c>
    </row>
  </sheetData>
  <autoFilter ref="A1:F2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8" customWidth="1"/>
    <col min="5" max="5" width="15" customWidth="1"/>
    <col min="6" max="6" width="16" customWidth="1"/>
    <col min="7" max="7" width="12" customWidth="1"/>
    <col min="8" max="8" width="13" customWidth="1"/>
    <col min="9" max="9" width="12" customWidth="1"/>
  </cols>
  <sheetData>
    <row r="1" spans="1:9" x14ac:dyDescent="0.3">
      <c r="A1" s="8" t="s">
        <v>183</v>
      </c>
      <c r="B1" s="8" t="s">
        <v>180</v>
      </c>
      <c r="C1" s="8" t="s">
        <v>187</v>
      </c>
      <c r="D1" s="8" t="s">
        <v>188</v>
      </c>
      <c r="E1" s="8" t="s">
        <v>189</v>
      </c>
      <c r="F1" s="8" t="s">
        <v>190</v>
      </c>
      <c r="G1" s="8" t="s">
        <v>181</v>
      </c>
      <c r="H1" s="8" t="s">
        <v>186</v>
      </c>
      <c r="I1" s="8" t="s">
        <v>76</v>
      </c>
    </row>
    <row r="2" spans="1:9" x14ac:dyDescent="0.3">
      <c r="A2" s="16">
        <v>1</v>
      </c>
      <c r="B2" s="16">
        <v>1</v>
      </c>
      <c r="C2" s="16">
        <v>3</v>
      </c>
      <c r="D2" s="17">
        <v>15000</v>
      </c>
      <c r="E2" s="17">
        <f t="shared" ref="E2:E65" si="0">C2*D2</f>
        <v>45000</v>
      </c>
      <c r="F2" s="16" t="str">
        <f>INDEX(Products!$B$2:$B$9,MATCH(B2,Products!$A$2:$A$9,0))</f>
        <v>Smartphone 6"</v>
      </c>
      <c r="G2" s="16" t="str">
        <f>INDEX(Products!$C$2:$C$9,MATCH(B2,Products!$A$2:$A$9,0))</f>
        <v>Electronics</v>
      </c>
      <c r="H2" s="16">
        <f>INDEX(Orders!$F$2:$F$201,MATCH(A2,Orders!$A$2:$A$201,0))</f>
        <v>202309</v>
      </c>
      <c r="I2" s="16" t="str">
        <f>INDEX(Orders!$E$2:$E$201,MATCH(A2,Orders!$A$2:$A$201,0))</f>
        <v>Lucknow</v>
      </c>
    </row>
    <row r="3" spans="1:9" x14ac:dyDescent="0.3">
      <c r="A3" s="16">
        <v>2</v>
      </c>
      <c r="B3" s="16">
        <v>3</v>
      </c>
      <c r="C3" s="16">
        <v>2</v>
      </c>
      <c r="D3" s="17">
        <v>8000</v>
      </c>
      <c r="E3" s="17">
        <f t="shared" si="0"/>
        <v>16000</v>
      </c>
      <c r="F3" s="16" t="str">
        <f>INDEX(Products!$B$2:$B$9,MATCH(B3,Products!$A$2:$A$9,0))</f>
        <v>Bluetooth Headphones</v>
      </c>
      <c r="G3" s="16" t="str">
        <f>INDEX(Products!$C$2:$C$9,MATCH(B3,Products!$A$2:$A$9,0))</f>
        <v>Electronics</v>
      </c>
      <c r="H3" s="16">
        <f>INDEX(Orders!$F$2:$F$201,MATCH(A3,Orders!$A$2:$A$201,0))</f>
        <v>202311</v>
      </c>
      <c r="I3" s="16" t="str">
        <f>INDEX(Orders!$E$2:$E$201,MATCH(A3,Orders!$A$2:$A$201,0))</f>
        <v>Jaipur</v>
      </c>
    </row>
    <row r="4" spans="1:9" x14ac:dyDescent="0.3">
      <c r="A4" s="16">
        <v>3</v>
      </c>
      <c r="B4" s="16">
        <v>2</v>
      </c>
      <c r="C4" s="16">
        <v>1</v>
      </c>
      <c r="D4" s="17">
        <v>60000</v>
      </c>
      <c r="E4" s="17">
        <f t="shared" si="0"/>
        <v>60000</v>
      </c>
      <c r="F4" s="16" t="str">
        <f>INDEX(Products!$B$2:$B$9,MATCH(B4,Products!$A$2:$A$9,0))</f>
        <v>Laptop 15" Pro</v>
      </c>
      <c r="G4" s="16" t="str">
        <f>INDEX(Products!$C$2:$C$9,MATCH(B4,Products!$A$2:$A$9,0))</f>
        <v>Electronics</v>
      </c>
      <c r="H4" s="16">
        <f>INDEX(Orders!$F$2:$F$201,MATCH(A4,Orders!$A$2:$A$201,0))</f>
        <v>202312</v>
      </c>
      <c r="I4" s="16" t="str">
        <f>INDEX(Orders!$E$2:$E$201,MATCH(A4,Orders!$A$2:$A$201,0))</f>
        <v>Delhi</v>
      </c>
    </row>
    <row r="5" spans="1:9" x14ac:dyDescent="0.3">
      <c r="A5" s="16">
        <v>3</v>
      </c>
      <c r="B5" s="16">
        <v>7</v>
      </c>
      <c r="C5" s="16">
        <v>2</v>
      </c>
      <c r="D5" s="17">
        <v>40000</v>
      </c>
      <c r="E5" s="17">
        <f t="shared" si="0"/>
        <v>80000</v>
      </c>
      <c r="F5" s="16" t="str">
        <f>INDEX(Products!$B$2:$B$9,MATCH(B5,Products!$A$2:$A$9,0))</f>
        <v>Digital SLR Camera</v>
      </c>
      <c r="G5" s="16" t="str">
        <f>INDEX(Products!$C$2:$C$9,MATCH(B5,Products!$A$2:$A$9,0))</f>
        <v>Photography</v>
      </c>
      <c r="H5" s="16">
        <f>INDEX(Orders!$F$2:$F$201,MATCH(A5,Orders!$A$2:$A$201,0))</f>
        <v>202312</v>
      </c>
      <c r="I5" s="16" t="str">
        <f>INDEX(Orders!$E$2:$E$201,MATCH(A5,Orders!$A$2:$A$201,0))</f>
        <v>Delhi</v>
      </c>
    </row>
    <row r="6" spans="1:9" x14ac:dyDescent="0.3">
      <c r="A6" s="16">
        <v>3</v>
      </c>
      <c r="B6" s="16">
        <v>7</v>
      </c>
      <c r="C6" s="16">
        <v>3</v>
      </c>
      <c r="D6" s="17">
        <v>40000</v>
      </c>
      <c r="E6" s="17">
        <f t="shared" si="0"/>
        <v>120000</v>
      </c>
      <c r="F6" s="16" t="str">
        <f>INDEX(Products!$B$2:$B$9,MATCH(B6,Products!$A$2:$A$9,0))</f>
        <v>Digital SLR Camera</v>
      </c>
      <c r="G6" s="16" t="str">
        <f>INDEX(Products!$C$2:$C$9,MATCH(B6,Products!$A$2:$A$9,0))</f>
        <v>Photography</v>
      </c>
      <c r="H6" s="16">
        <f>INDEX(Orders!$F$2:$F$201,MATCH(A6,Orders!$A$2:$A$201,0))</f>
        <v>202312</v>
      </c>
      <c r="I6" s="16" t="str">
        <f>INDEX(Orders!$E$2:$E$201,MATCH(A6,Orders!$A$2:$A$201,0))</f>
        <v>Delhi</v>
      </c>
    </row>
    <row r="7" spans="1:9" x14ac:dyDescent="0.3">
      <c r="A7" s="16">
        <v>4</v>
      </c>
      <c r="B7" s="16">
        <v>4</v>
      </c>
      <c r="C7" s="16">
        <v>1</v>
      </c>
      <c r="D7" s="17">
        <v>12000</v>
      </c>
      <c r="E7" s="17">
        <f t="shared" si="0"/>
        <v>12000</v>
      </c>
      <c r="F7" s="16" t="str">
        <f>INDEX(Products!$B$2:$B$9,MATCH(B7,Products!$A$2:$A$9,0))</f>
        <v>E-Book Reader</v>
      </c>
      <c r="G7" s="16" t="str">
        <f>INDEX(Products!$C$2:$C$9,MATCH(B7,Products!$A$2:$A$9,0))</f>
        <v>Electronics</v>
      </c>
      <c r="H7" s="16">
        <f>INDEX(Orders!$F$2:$F$201,MATCH(A7,Orders!$A$2:$A$201,0))</f>
        <v>202304</v>
      </c>
      <c r="I7" s="16" t="str">
        <f>INDEX(Orders!$E$2:$E$201,MATCH(A7,Orders!$A$2:$A$201,0))</f>
        <v>Mumbai</v>
      </c>
    </row>
    <row r="8" spans="1:9" x14ac:dyDescent="0.3">
      <c r="A8" s="16">
        <v>4</v>
      </c>
      <c r="B8" s="16">
        <v>1</v>
      </c>
      <c r="C8" s="16">
        <v>1</v>
      </c>
      <c r="D8" s="17">
        <v>15000</v>
      </c>
      <c r="E8" s="17">
        <f t="shared" si="0"/>
        <v>15000</v>
      </c>
      <c r="F8" s="16" t="str">
        <f>INDEX(Products!$B$2:$B$9,MATCH(B8,Products!$A$2:$A$9,0))</f>
        <v>Smartphone 6"</v>
      </c>
      <c r="G8" s="16" t="str">
        <f>INDEX(Products!$C$2:$C$9,MATCH(B8,Products!$A$2:$A$9,0))</f>
        <v>Electronics</v>
      </c>
      <c r="H8" s="16">
        <f>INDEX(Orders!$F$2:$F$201,MATCH(A8,Orders!$A$2:$A$201,0))</f>
        <v>202304</v>
      </c>
      <c r="I8" s="16" t="str">
        <f>INDEX(Orders!$E$2:$E$201,MATCH(A8,Orders!$A$2:$A$201,0))</f>
        <v>Mumbai</v>
      </c>
    </row>
    <row r="9" spans="1:9" x14ac:dyDescent="0.3">
      <c r="A9" s="16">
        <v>5</v>
      </c>
      <c r="B9" s="16">
        <v>5</v>
      </c>
      <c r="C9" s="16">
        <v>1</v>
      </c>
      <c r="D9" s="17">
        <v>5000</v>
      </c>
      <c r="E9" s="17">
        <f t="shared" si="0"/>
        <v>5000</v>
      </c>
      <c r="F9" s="16" t="str">
        <f>INDEX(Products!$B$2:$B$9,MATCH(B9,Products!$A$2:$A$9,0))</f>
        <v>Smartwatch Fitness Tracker</v>
      </c>
      <c r="G9" s="16" t="str">
        <f>INDEX(Products!$C$2:$C$9,MATCH(B9,Products!$A$2:$A$9,0))</f>
        <v>Wearable Tech</v>
      </c>
      <c r="H9" s="16">
        <f>INDEX(Orders!$F$2:$F$201,MATCH(A9,Orders!$A$2:$A$201,0))</f>
        <v>202304</v>
      </c>
      <c r="I9" s="16" t="str">
        <f>INDEX(Orders!$E$2:$E$201,MATCH(A9,Orders!$A$2:$A$201,0))</f>
        <v>Mumbai</v>
      </c>
    </row>
    <row r="10" spans="1:9" x14ac:dyDescent="0.3">
      <c r="A10" s="16">
        <v>5</v>
      </c>
      <c r="B10" s="16">
        <v>4</v>
      </c>
      <c r="C10" s="16">
        <v>3</v>
      </c>
      <c r="D10" s="17">
        <v>12000</v>
      </c>
      <c r="E10" s="17">
        <f t="shared" si="0"/>
        <v>36000</v>
      </c>
      <c r="F10" s="16" t="str">
        <f>INDEX(Products!$B$2:$B$9,MATCH(B10,Products!$A$2:$A$9,0))</f>
        <v>E-Book Reader</v>
      </c>
      <c r="G10" s="16" t="str">
        <f>INDEX(Products!$C$2:$C$9,MATCH(B10,Products!$A$2:$A$9,0))</f>
        <v>Electronics</v>
      </c>
      <c r="H10" s="16">
        <f>INDEX(Orders!$F$2:$F$201,MATCH(A10,Orders!$A$2:$A$201,0))</f>
        <v>202304</v>
      </c>
      <c r="I10" s="16" t="str">
        <f>INDEX(Orders!$E$2:$E$201,MATCH(A10,Orders!$A$2:$A$201,0))</f>
        <v>Mumbai</v>
      </c>
    </row>
    <row r="11" spans="1:9" x14ac:dyDescent="0.3">
      <c r="A11" s="16">
        <v>5</v>
      </c>
      <c r="B11" s="16">
        <v>2</v>
      </c>
      <c r="C11" s="16">
        <v>3</v>
      </c>
      <c r="D11" s="17">
        <v>60000</v>
      </c>
      <c r="E11" s="17">
        <f t="shared" si="0"/>
        <v>180000</v>
      </c>
      <c r="F11" s="16" t="str">
        <f>INDEX(Products!$B$2:$B$9,MATCH(B11,Products!$A$2:$A$9,0))</f>
        <v>Laptop 15" Pro</v>
      </c>
      <c r="G11" s="16" t="str">
        <f>INDEX(Products!$C$2:$C$9,MATCH(B11,Products!$A$2:$A$9,0))</f>
        <v>Electronics</v>
      </c>
      <c r="H11" s="16">
        <f>INDEX(Orders!$F$2:$F$201,MATCH(A11,Orders!$A$2:$A$201,0))</f>
        <v>202304</v>
      </c>
      <c r="I11" s="16" t="str">
        <f>INDEX(Orders!$E$2:$E$201,MATCH(A11,Orders!$A$2:$A$201,0))</f>
        <v>Mumbai</v>
      </c>
    </row>
    <row r="12" spans="1:9" x14ac:dyDescent="0.3">
      <c r="A12" s="16">
        <v>6</v>
      </c>
      <c r="B12" s="16">
        <v>7</v>
      </c>
      <c r="C12" s="16">
        <v>1</v>
      </c>
      <c r="D12" s="17">
        <v>40000</v>
      </c>
      <c r="E12" s="17">
        <f t="shared" si="0"/>
        <v>40000</v>
      </c>
      <c r="F12" s="16" t="str">
        <f>INDEX(Products!$B$2:$B$9,MATCH(B12,Products!$A$2:$A$9,0))</f>
        <v>Digital SLR Camera</v>
      </c>
      <c r="G12" s="16" t="str">
        <f>INDEX(Products!$C$2:$C$9,MATCH(B12,Products!$A$2:$A$9,0))</f>
        <v>Photography</v>
      </c>
      <c r="H12" s="16">
        <f>INDEX(Orders!$F$2:$F$201,MATCH(A12,Orders!$A$2:$A$201,0))</f>
        <v>202305</v>
      </c>
      <c r="I12" s="16" t="str">
        <f>INDEX(Orders!$E$2:$E$201,MATCH(A12,Orders!$A$2:$A$201,0))</f>
        <v>Bangalore</v>
      </c>
    </row>
    <row r="13" spans="1:9" x14ac:dyDescent="0.3">
      <c r="A13" s="16">
        <v>6</v>
      </c>
      <c r="B13" s="16">
        <v>7</v>
      </c>
      <c r="C13" s="16">
        <v>2</v>
      </c>
      <c r="D13" s="17">
        <v>40000</v>
      </c>
      <c r="E13" s="17">
        <f t="shared" si="0"/>
        <v>80000</v>
      </c>
      <c r="F13" s="16" t="str">
        <f>INDEX(Products!$B$2:$B$9,MATCH(B13,Products!$A$2:$A$9,0))</f>
        <v>Digital SLR Camera</v>
      </c>
      <c r="G13" s="16" t="str">
        <f>INDEX(Products!$C$2:$C$9,MATCH(B13,Products!$A$2:$A$9,0))</f>
        <v>Photography</v>
      </c>
      <c r="H13" s="16">
        <f>INDEX(Orders!$F$2:$F$201,MATCH(A13,Orders!$A$2:$A$201,0))</f>
        <v>202305</v>
      </c>
      <c r="I13" s="16" t="str">
        <f>INDEX(Orders!$E$2:$E$201,MATCH(A13,Orders!$A$2:$A$201,0))</f>
        <v>Bangalore</v>
      </c>
    </row>
    <row r="14" spans="1:9" x14ac:dyDescent="0.3">
      <c r="A14" s="16">
        <v>7</v>
      </c>
      <c r="B14" s="16">
        <v>1</v>
      </c>
      <c r="C14" s="16">
        <v>2</v>
      </c>
      <c r="D14" s="17">
        <v>15000</v>
      </c>
      <c r="E14" s="17">
        <f t="shared" si="0"/>
        <v>30000</v>
      </c>
      <c r="F14" s="16" t="str">
        <f>INDEX(Products!$B$2:$B$9,MATCH(B14,Products!$A$2:$A$9,0))</f>
        <v>Smartphone 6"</v>
      </c>
      <c r="G14" s="16" t="str">
        <f>INDEX(Products!$C$2:$C$9,MATCH(B14,Products!$A$2:$A$9,0))</f>
        <v>Electronics</v>
      </c>
      <c r="H14" s="16">
        <f>INDEX(Orders!$F$2:$F$201,MATCH(A14,Orders!$A$2:$A$201,0))</f>
        <v>202304</v>
      </c>
      <c r="I14" s="16" t="str">
        <f>INDEX(Orders!$E$2:$E$201,MATCH(A14,Orders!$A$2:$A$201,0))</f>
        <v>Chennai</v>
      </c>
    </row>
    <row r="15" spans="1:9" x14ac:dyDescent="0.3">
      <c r="A15" s="16">
        <v>8</v>
      </c>
      <c r="B15" s="16">
        <v>7</v>
      </c>
      <c r="C15" s="16">
        <v>1</v>
      </c>
      <c r="D15" s="17">
        <v>40000</v>
      </c>
      <c r="E15" s="17">
        <f t="shared" si="0"/>
        <v>40000</v>
      </c>
      <c r="F15" s="16" t="str">
        <f>INDEX(Products!$B$2:$B$9,MATCH(B15,Products!$A$2:$A$9,0))</f>
        <v>Digital SLR Camera</v>
      </c>
      <c r="G15" s="16" t="str">
        <f>INDEX(Products!$C$2:$C$9,MATCH(B15,Products!$A$2:$A$9,0))</f>
        <v>Photography</v>
      </c>
      <c r="H15" s="16">
        <f>INDEX(Orders!$F$2:$F$201,MATCH(A15,Orders!$A$2:$A$201,0))</f>
        <v>202308</v>
      </c>
      <c r="I15" s="16" t="str">
        <f>INDEX(Orders!$E$2:$E$201,MATCH(A15,Orders!$A$2:$A$201,0))</f>
        <v>Mumbai</v>
      </c>
    </row>
    <row r="16" spans="1:9" x14ac:dyDescent="0.3">
      <c r="A16" s="16">
        <v>8</v>
      </c>
      <c r="B16" s="16">
        <v>4</v>
      </c>
      <c r="C16" s="16">
        <v>1</v>
      </c>
      <c r="D16" s="17">
        <v>12000</v>
      </c>
      <c r="E16" s="17">
        <f t="shared" si="0"/>
        <v>12000</v>
      </c>
      <c r="F16" s="16" t="str">
        <f>INDEX(Products!$B$2:$B$9,MATCH(B16,Products!$A$2:$A$9,0))</f>
        <v>E-Book Reader</v>
      </c>
      <c r="G16" s="16" t="str">
        <f>INDEX(Products!$C$2:$C$9,MATCH(B16,Products!$A$2:$A$9,0))</f>
        <v>Electronics</v>
      </c>
      <c r="H16" s="16">
        <f>INDEX(Orders!$F$2:$F$201,MATCH(A16,Orders!$A$2:$A$201,0))</f>
        <v>202308</v>
      </c>
      <c r="I16" s="16" t="str">
        <f>INDEX(Orders!$E$2:$E$201,MATCH(A16,Orders!$A$2:$A$201,0))</f>
        <v>Mumbai</v>
      </c>
    </row>
    <row r="17" spans="1:9" x14ac:dyDescent="0.3">
      <c r="A17" s="16">
        <v>8</v>
      </c>
      <c r="B17" s="16">
        <v>8</v>
      </c>
      <c r="C17" s="16">
        <v>1</v>
      </c>
      <c r="D17" s="17">
        <v>3000</v>
      </c>
      <c r="E17" s="17">
        <f t="shared" si="0"/>
        <v>3000</v>
      </c>
      <c r="F17" s="16" t="str">
        <f>INDEX(Products!$B$2:$B$9,MATCH(B17,Products!$A$2:$A$9,0))</f>
        <v>Wireless Earbuds</v>
      </c>
      <c r="G17" s="16" t="str">
        <f>INDEX(Products!$C$2:$C$9,MATCH(B17,Products!$A$2:$A$9,0))</f>
        <v>Wearable Tech</v>
      </c>
      <c r="H17" s="16">
        <f>INDEX(Orders!$F$2:$F$201,MATCH(A17,Orders!$A$2:$A$201,0))</f>
        <v>202308</v>
      </c>
      <c r="I17" s="16" t="str">
        <f>INDEX(Orders!$E$2:$E$201,MATCH(A17,Orders!$A$2:$A$201,0))</f>
        <v>Mumbai</v>
      </c>
    </row>
    <row r="18" spans="1:9" x14ac:dyDescent="0.3">
      <c r="A18" s="16">
        <v>8</v>
      </c>
      <c r="B18" s="16">
        <v>8</v>
      </c>
      <c r="C18" s="16">
        <v>3</v>
      </c>
      <c r="D18" s="17">
        <v>3000</v>
      </c>
      <c r="E18" s="17">
        <f t="shared" si="0"/>
        <v>9000</v>
      </c>
      <c r="F18" s="16" t="str">
        <f>INDEX(Products!$B$2:$B$9,MATCH(B18,Products!$A$2:$A$9,0))</f>
        <v>Wireless Earbuds</v>
      </c>
      <c r="G18" s="16" t="str">
        <f>INDEX(Products!$C$2:$C$9,MATCH(B18,Products!$A$2:$A$9,0))</f>
        <v>Wearable Tech</v>
      </c>
      <c r="H18" s="16">
        <f>INDEX(Orders!$F$2:$F$201,MATCH(A18,Orders!$A$2:$A$201,0))</f>
        <v>202308</v>
      </c>
      <c r="I18" s="16" t="str">
        <f>INDEX(Orders!$E$2:$E$201,MATCH(A18,Orders!$A$2:$A$201,0))</f>
        <v>Mumbai</v>
      </c>
    </row>
    <row r="19" spans="1:9" x14ac:dyDescent="0.3">
      <c r="A19" s="16">
        <v>9</v>
      </c>
      <c r="B19" s="16">
        <v>1</v>
      </c>
      <c r="C19" s="16">
        <v>2</v>
      </c>
      <c r="D19" s="17">
        <v>15000</v>
      </c>
      <c r="E19" s="17">
        <f t="shared" si="0"/>
        <v>30000</v>
      </c>
      <c r="F19" s="16" t="str">
        <f>INDEX(Products!$B$2:$B$9,MATCH(B19,Products!$A$2:$A$9,0))</f>
        <v>Smartphone 6"</v>
      </c>
      <c r="G19" s="16" t="str">
        <f>INDEX(Products!$C$2:$C$9,MATCH(B19,Products!$A$2:$A$9,0))</f>
        <v>Electronics</v>
      </c>
      <c r="H19" s="16">
        <f>INDEX(Orders!$F$2:$F$201,MATCH(A19,Orders!$A$2:$A$201,0))</f>
        <v>202312</v>
      </c>
      <c r="I19" s="16" t="str">
        <f>INDEX(Orders!$E$2:$E$201,MATCH(A19,Orders!$A$2:$A$201,0))</f>
        <v>Kolkata</v>
      </c>
    </row>
    <row r="20" spans="1:9" x14ac:dyDescent="0.3">
      <c r="A20" s="16">
        <v>9</v>
      </c>
      <c r="B20" s="16">
        <v>3</v>
      </c>
      <c r="C20" s="16">
        <v>2</v>
      </c>
      <c r="D20" s="17">
        <v>8000</v>
      </c>
      <c r="E20" s="17">
        <f t="shared" si="0"/>
        <v>16000</v>
      </c>
      <c r="F20" s="16" t="str">
        <f>INDEX(Products!$B$2:$B$9,MATCH(B20,Products!$A$2:$A$9,0))</f>
        <v>Bluetooth Headphones</v>
      </c>
      <c r="G20" s="16" t="str">
        <f>INDEX(Products!$C$2:$C$9,MATCH(B20,Products!$A$2:$A$9,0))</f>
        <v>Electronics</v>
      </c>
      <c r="H20" s="16">
        <f>INDEX(Orders!$F$2:$F$201,MATCH(A20,Orders!$A$2:$A$201,0))</f>
        <v>202312</v>
      </c>
      <c r="I20" s="16" t="str">
        <f>INDEX(Orders!$E$2:$E$201,MATCH(A20,Orders!$A$2:$A$201,0))</f>
        <v>Kolkata</v>
      </c>
    </row>
    <row r="21" spans="1:9" x14ac:dyDescent="0.3">
      <c r="A21" s="16">
        <v>9</v>
      </c>
      <c r="B21" s="16">
        <v>3</v>
      </c>
      <c r="C21" s="16">
        <v>3</v>
      </c>
      <c r="D21" s="17">
        <v>8000</v>
      </c>
      <c r="E21" s="17">
        <f t="shared" si="0"/>
        <v>24000</v>
      </c>
      <c r="F21" s="16" t="str">
        <f>INDEX(Products!$B$2:$B$9,MATCH(B21,Products!$A$2:$A$9,0))</f>
        <v>Bluetooth Headphones</v>
      </c>
      <c r="G21" s="16" t="str">
        <f>INDEX(Products!$C$2:$C$9,MATCH(B21,Products!$A$2:$A$9,0))</f>
        <v>Electronics</v>
      </c>
      <c r="H21" s="16">
        <f>INDEX(Orders!$F$2:$F$201,MATCH(A21,Orders!$A$2:$A$201,0))</f>
        <v>202312</v>
      </c>
      <c r="I21" s="16" t="str">
        <f>INDEX(Orders!$E$2:$E$201,MATCH(A21,Orders!$A$2:$A$201,0))</f>
        <v>Kolkata</v>
      </c>
    </row>
    <row r="22" spans="1:9" x14ac:dyDescent="0.3">
      <c r="A22" s="16">
        <v>9</v>
      </c>
      <c r="B22" s="16">
        <v>2</v>
      </c>
      <c r="C22" s="16">
        <v>3</v>
      </c>
      <c r="D22" s="17">
        <v>60000</v>
      </c>
      <c r="E22" s="17">
        <f t="shared" si="0"/>
        <v>180000</v>
      </c>
      <c r="F22" s="16" t="str">
        <f>INDEX(Products!$B$2:$B$9,MATCH(B22,Products!$A$2:$A$9,0))</f>
        <v>Laptop 15" Pro</v>
      </c>
      <c r="G22" s="16" t="str">
        <f>INDEX(Products!$C$2:$C$9,MATCH(B22,Products!$A$2:$A$9,0))</f>
        <v>Electronics</v>
      </c>
      <c r="H22" s="16">
        <f>INDEX(Orders!$F$2:$F$201,MATCH(A22,Orders!$A$2:$A$201,0))</f>
        <v>202312</v>
      </c>
      <c r="I22" s="16" t="str">
        <f>INDEX(Orders!$E$2:$E$201,MATCH(A22,Orders!$A$2:$A$201,0))</f>
        <v>Kolkata</v>
      </c>
    </row>
    <row r="23" spans="1:9" x14ac:dyDescent="0.3">
      <c r="A23" s="16">
        <v>10</v>
      </c>
      <c r="B23" s="16">
        <v>4</v>
      </c>
      <c r="C23" s="16">
        <v>3</v>
      </c>
      <c r="D23" s="17">
        <v>12000</v>
      </c>
      <c r="E23" s="17">
        <f t="shared" si="0"/>
        <v>36000</v>
      </c>
      <c r="F23" s="16" t="str">
        <f>INDEX(Products!$B$2:$B$9,MATCH(B23,Products!$A$2:$A$9,0))</f>
        <v>E-Book Reader</v>
      </c>
      <c r="G23" s="16" t="str">
        <f>INDEX(Products!$C$2:$C$9,MATCH(B23,Products!$A$2:$A$9,0))</f>
        <v>Electronics</v>
      </c>
      <c r="H23" s="16">
        <f>INDEX(Orders!$F$2:$F$201,MATCH(A23,Orders!$A$2:$A$201,0))</f>
        <v>202310</v>
      </c>
      <c r="I23" s="16" t="str">
        <f>INDEX(Orders!$E$2:$E$201,MATCH(A23,Orders!$A$2:$A$201,0))</f>
        <v>Ahmedabad</v>
      </c>
    </row>
    <row r="24" spans="1:9" x14ac:dyDescent="0.3">
      <c r="A24" s="16">
        <v>10</v>
      </c>
      <c r="B24" s="16">
        <v>4</v>
      </c>
      <c r="C24" s="16">
        <v>1</v>
      </c>
      <c r="D24" s="17">
        <v>12000</v>
      </c>
      <c r="E24" s="17">
        <f t="shared" si="0"/>
        <v>12000</v>
      </c>
      <c r="F24" s="16" t="str">
        <f>INDEX(Products!$B$2:$B$9,MATCH(B24,Products!$A$2:$A$9,0))</f>
        <v>E-Book Reader</v>
      </c>
      <c r="G24" s="16" t="str">
        <f>INDEX(Products!$C$2:$C$9,MATCH(B24,Products!$A$2:$A$9,0))</f>
        <v>Electronics</v>
      </c>
      <c r="H24" s="16">
        <f>INDEX(Orders!$F$2:$F$201,MATCH(A24,Orders!$A$2:$A$201,0))</f>
        <v>202310</v>
      </c>
      <c r="I24" s="16" t="str">
        <f>INDEX(Orders!$E$2:$E$201,MATCH(A24,Orders!$A$2:$A$201,0))</f>
        <v>Ahmedabad</v>
      </c>
    </row>
    <row r="25" spans="1:9" x14ac:dyDescent="0.3">
      <c r="A25" s="16">
        <v>10</v>
      </c>
      <c r="B25" s="16">
        <v>5</v>
      </c>
      <c r="C25" s="16">
        <v>1</v>
      </c>
      <c r="D25" s="17">
        <v>5000</v>
      </c>
      <c r="E25" s="17">
        <f t="shared" si="0"/>
        <v>5000</v>
      </c>
      <c r="F25" s="16" t="str">
        <f>INDEX(Products!$B$2:$B$9,MATCH(B25,Products!$A$2:$A$9,0))</f>
        <v>Smartwatch Fitness Tracker</v>
      </c>
      <c r="G25" s="16" t="str">
        <f>INDEX(Products!$C$2:$C$9,MATCH(B25,Products!$A$2:$A$9,0))</f>
        <v>Wearable Tech</v>
      </c>
      <c r="H25" s="16">
        <f>INDEX(Orders!$F$2:$F$201,MATCH(A25,Orders!$A$2:$A$201,0))</f>
        <v>202310</v>
      </c>
      <c r="I25" s="16" t="str">
        <f>INDEX(Orders!$E$2:$E$201,MATCH(A25,Orders!$A$2:$A$201,0))</f>
        <v>Ahmedabad</v>
      </c>
    </row>
    <row r="26" spans="1:9" x14ac:dyDescent="0.3">
      <c r="A26" s="16">
        <v>11</v>
      </c>
      <c r="B26" s="16">
        <v>8</v>
      </c>
      <c r="C26" s="16">
        <v>3</v>
      </c>
      <c r="D26" s="17">
        <v>3000</v>
      </c>
      <c r="E26" s="17">
        <f t="shared" si="0"/>
        <v>9000</v>
      </c>
      <c r="F26" s="16" t="str">
        <f>INDEX(Products!$B$2:$B$9,MATCH(B26,Products!$A$2:$A$9,0))</f>
        <v>Wireless Earbuds</v>
      </c>
      <c r="G26" s="16" t="str">
        <f>INDEX(Products!$C$2:$C$9,MATCH(B26,Products!$A$2:$A$9,0))</f>
        <v>Wearable Tech</v>
      </c>
      <c r="H26" s="16">
        <f>INDEX(Orders!$F$2:$F$201,MATCH(A26,Orders!$A$2:$A$201,0))</f>
        <v>202310</v>
      </c>
      <c r="I26" s="16" t="str">
        <f>INDEX(Orders!$E$2:$E$201,MATCH(A26,Orders!$A$2:$A$201,0))</f>
        <v>Ahmedabad</v>
      </c>
    </row>
    <row r="27" spans="1:9" x14ac:dyDescent="0.3">
      <c r="A27" s="16">
        <v>11</v>
      </c>
      <c r="B27" s="16">
        <v>1</v>
      </c>
      <c r="C27" s="16">
        <v>3</v>
      </c>
      <c r="D27" s="17">
        <v>15000</v>
      </c>
      <c r="E27" s="17">
        <f t="shared" si="0"/>
        <v>45000</v>
      </c>
      <c r="F27" s="16" t="str">
        <f>INDEX(Products!$B$2:$B$9,MATCH(B27,Products!$A$2:$A$9,0))</f>
        <v>Smartphone 6"</v>
      </c>
      <c r="G27" s="16" t="str">
        <f>INDEX(Products!$C$2:$C$9,MATCH(B27,Products!$A$2:$A$9,0))</f>
        <v>Electronics</v>
      </c>
      <c r="H27" s="16">
        <f>INDEX(Orders!$F$2:$F$201,MATCH(A27,Orders!$A$2:$A$201,0))</f>
        <v>202310</v>
      </c>
      <c r="I27" s="16" t="str">
        <f>INDEX(Orders!$E$2:$E$201,MATCH(A27,Orders!$A$2:$A$201,0))</f>
        <v>Ahmedabad</v>
      </c>
    </row>
    <row r="28" spans="1:9" x14ac:dyDescent="0.3">
      <c r="A28" s="16">
        <v>11</v>
      </c>
      <c r="B28" s="16">
        <v>5</v>
      </c>
      <c r="C28" s="16">
        <v>3</v>
      </c>
      <c r="D28" s="17">
        <v>5000</v>
      </c>
      <c r="E28" s="17">
        <f t="shared" si="0"/>
        <v>15000</v>
      </c>
      <c r="F28" s="16" t="str">
        <f>INDEX(Products!$B$2:$B$9,MATCH(B28,Products!$A$2:$A$9,0))</f>
        <v>Smartwatch Fitness Tracker</v>
      </c>
      <c r="G28" s="16" t="str">
        <f>INDEX(Products!$C$2:$C$9,MATCH(B28,Products!$A$2:$A$9,0))</f>
        <v>Wearable Tech</v>
      </c>
      <c r="H28" s="16">
        <f>INDEX(Orders!$F$2:$F$201,MATCH(A28,Orders!$A$2:$A$201,0))</f>
        <v>202310</v>
      </c>
      <c r="I28" s="16" t="str">
        <f>INDEX(Orders!$E$2:$E$201,MATCH(A28,Orders!$A$2:$A$201,0))</f>
        <v>Ahmedabad</v>
      </c>
    </row>
    <row r="29" spans="1:9" x14ac:dyDescent="0.3">
      <c r="A29" s="16">
        <v>11</v>
      </c>
      <c r="B29" s="16">
        <v>2</v>
      </c>
      <c r="C29" s="16">
        <v>1</v>
      </c>
      <c r="D29" s="17">
        <v>60000</v>
      </c>
      <c r="E29" s="17">
        <f t="shared" si="0"/>
        <v>60000</v>
      </c>
      <c r="F29" s="16" t="str">
        <f>INDEX(Products!$B$2:$B$9,MATCH(B29,Products!$A$2:$A$9,0))</f>
        <v>Laptop 15" Pro</v>
      </c>
      <c r="G29" s="16" t="str">
        <f>INDEX(Products!$C$2:$C$9,MATCH(B29,Products!$A$2:$A$9,0))</f>
        <v>Electronics</v>
      </c>
      <c r="H29" s="16">
        <f>INDEX(Orders!$F$2:$F$201,MATCH(A29,Orders!$A$2:$A$201,0))</f>
        <v>202310</v>
      </c>
      <c r="I29" s="16" t="str">
        <f>INDEX(Orders!$E$2:$E$201,MATCH(A29,Orders!$A$2:$A$201,0))</f>
        <v>Ahmedabad</v>
      </c>
    </row>
    <row r="30" spans="1:9" x14ac:dyDescent="0.3">
      <c r="A30" s="16">
        <v>12</v>
      </c>
      <c r="B30" s="16">
        <v>8</v>
      </c>
      <c r="C30" s="16">
        <v>3</v>
      </c>
      <c r="D30" s="17">
        <v>3000</v>
      </c>
      <c r="E30" s="17">
        <f t="shared" si="0"/>
        <v>9000</v>
      </c>
      <c r="F30" s="16" t="str">
        <f>INDEX(Products!$B$2:$B$9,MATCH(B30,Products!$A$2:$A$9,0))</f>
        <v>Wireless Earbuds</v>
      </c>
      <c r="G30" s="16" t="str">
        <f>INDEX(Products!$C$2:$C$9,MATCH(B30,Products!$A$2:$A$9,0))</f>
        <v>Wearable Tech</v>
      </c>
      <c r="H30" s="16">
        <f>INDEX(Orders!$F$2:$F$201,MATCH(A30,Orders!$A$2:$A$201,0))</f>
        <v>202307</v>
      </c>
      <c r="I30" s="16" t="str">
        <f>INDEX(Orders!$E$2:$E$201,MATCH(A30,Orders!$A$2:$A$201,0))</f>
        <v>Chennai</v>
      </c>
    </row>
    <row r="31" spans="1:9" x14ac:dyDescent="0.3">
      <c r="A31" s="16">
        <v>12</v>
      </c>
      <c r="B31" s="16">
        <v>8</v>
      </c>
      <c r="C31" s="16">
        <v>2</v>
      </c>
      <c r="D31" s="17">
        <v>3000</v>
      </c>
      <c r="E31" s="17">
        <f t="shared" si="0"/>
        <v>6000</v>
      </c>
      <c r="F31" s="16" t="str">
        <f>INDEX(Products!$B$2:$B$9,MATCH(B31,Products!$A$2:$A$9,0))</f>
        <v>Wireless Earbuds</v>
      </c>
      <c r="G31" s="16" t="str">
        <f>INDEX(Products!$C$2:$C$9,MATCH(B31,Products!$A$2:$A$9,0))</f>
        <v>Wearable Tech</v>
      </c>
      <c r="H31" s="16">
        <f>INDEX(Orders!$F$2:$F$201,MATCH(A31,Orders!$A$2:$A$201,0))</f>
        <v>202307</v>
      </c>
      <c r="I31" s="16" t="str">
        <f>INDEX(Orders!$E$2:$E$201,MATCH(A31,Orders!$A$2:$A$201,0))</f>
        <v>Chennai</v>
      </c>
    </row>
    <row r="32" spans="1:9" x14ac:dyDescent="0.3">
      <c r="A32" s="16">
        <v>13</v>
      </c>
      <c r="B32" s="16">
        <v>1</v>
      </c>
      <c r="C32" s="16">
        <v>2</v>
      </c>
      <c r="D32" s="17">
        <v>15000</v>
      </c>
      <c r="E32" s="17">
        <f t="shared" si="0"/>
        <v>30000</v>
      </c>
      <c r="F32" s="16" t="str">
        <f>INDEX(Products!$B$2:$B$9,MATCH(B32,Products!$A$2:$A$9,0))</f>
        <v>Smartphone 6"</v>
      </c>
      <c r="G32" s="16" t="str">
        <f>INDEX(Products!$C$2:$C$9,MATCH(B32,Products!$A$2:$A$9,0))</f>
        <v>Electronics</v>
      </c>
      <c r="H32" s="16">
        <f>INDEX(Orders!$F$2:$F$201,MATCH(A32,Orders!$A$2:$A$201,0))</f>
        <v>202312</v>
      </c>
      <c r="I32" s="16" t="str">
        <f>INDEX(Orders!$E$2:$E$201,MATCH(A32,Orders!$A$2:$A$201,0))</f>
        <v>Mumbai</v>
      </c>
    </row>
    <row r="33" spans="1:9" x14ac:dyDescent="0.3">
      <c r="A33" s="16">
        <v>13</v>
      </c>
      <c r="B33" s="16">
        <v>8</v>
      </c>
      <c r="C33" s="16">
        <v>1</v>
      </c>
      <c r="D33" s="17">
        <v>3000</v>
      </c>
      <c r="E33" s="17">
        <f t="shared" si="0"/>
        <v>3000</v>
      </c>
      <c r="F33" s="16" t="str">
        <f>INDEX(Products!$B$2:$B$9,MATCH(B33,Products!$A$2:$A$9,0))</f>
        <v>Wireless Earbuds</v>
      </c>
      <c r="G33" s="16" t="str">
        <f>INDEX(Products!$C$2:$C$9,MATCH(B33,Products!$A$2:$A$9,0))</f>
        <v>Wearable Tech</v>
      </c>
      <c r="H33" s="16">
        <f>INDEX(Orders!$F$2:$F$201,MATCH(A33,Orders!$A$2:$A$201,0))</f>
        <v>202312</v>
      </c>
      <c r="I33" s="16" t="str">
        <f>INDEX(Orders!$E$2:$E$201,MATCH(A33,Orders!$A$2:$A$201,0))</f>
        <v>Mumbai</v>
      </c>
    </row>
    <row r="34" spans="1:9" x14ac:dyDescent="0.3">
      <c r="A34" s="16">
        <v>13</v>
      </c>
      <c r="B34" s="16">
        <v>7</v>
      </c>
      <c r="C34" s="16">
        <v>3</v>
      </c>
      <c r="D34" s="17">
        <v>40000</v>
      </c>
      <c r="E34" s="17">
        <f t="shared" si="0"/>
        <v>120000</v>
      </c>
      <c r="F34" s="16" t="str">
        <f>INDEX(Products!$B$2:$B$9,MATCH(B34,Products!$A$2:$A$9,0))</f>
        <v>Digital SLR Camera</v>
      </c>
      <c r="G34" s="16" t="str">
        <f>INDEX(Products!$C$2:$C$9,MATCH(B34,Products!$A$2:$A$9,0))</f>
        <v>Photography</v>
      </c>
      <c r="H34" s="16">
        <f>INDEX(Orders!$F$2:$F$201,MATCH(A34,Orders!$A$2:$A$201,0))</f>
        <v>202312</v>
      </c>
      <c r="I34" s="16" t="str">
        <f>INDEX(Orders!$E$2:$E$201,MATCH(A34,Orders!$A$2:$A$201,0))</f>
        <v>Mumbai</v>
      </c>
    </row>
    <row r="35" spans="1:9" x14ac:dyDescent="0.3">
      <c r="A35" s="16">
        <v>13</v>
      </c>
      <c r="B35" s="16">
        <v>5</v>
      </c>
      <c r="C35" s="16">
        <v>1</v>
      </c>
      <c r="D35" s="17">
        <v>5000</v>
      </c>
      <c r="E35" s="17">
        <f t="shared" si="0"/>
        <v>5000</v>
      </c>
      <c r="F35" s="16" t="str">
        <f>INDEX(Products!$B$2:$B$9,MATCH(B35,Products!$A$2:$A$9,0))</f>
        <v>Smartwatch Fitness Tracker</v>
      </c>
      <c r="G35" s="16" t="str">
        <f>INDEX(Products!$C$2:$C$9,MATCH(B35,Products!$A$2:$A$9,0))</f>
        <v>Wearable Tech</v>
      </c>
      <c r="H35" s="16">
        <f>INDEX(Orders!$F$2:$F$201,MATCH(A35,Orders!$A$2:$A$201,0))</f>
        <v>202312</v>
      </c>
      <c r="I35" s="16" t="str">
        <f>INDEX(Orders!$E$2:$E$201,MATCH(A35,Orders!$A$2:$A$201,0))</f>
        <v>Mumbai</v>
      </c>
    </row>
    <row r="36" spans="1:9" x14ac:dyDescent="0.3">
      <c r="A36" s="16">
        <v>14</v>
      </c>
      <c r="B36" s="16">
        <v>4</v>
      </c>
      <c r="C36" s="16">
        <v>1</v>
      </c>
      <c r="D36" s="17">
        <v>12000</v>
      </c>
      <c r="E36" s="17">
        <f t="shared" si="0"/>
        <v>12000</v>
      </c>
      <c r="F36" s="16" t="str">
        <f>INDEX(Products!$B$2:$B$9,MATCH(B36,Products!$A$2:$A$9,0))</f>
        <v>E-Book Reader</v>
      </c>
      <c r="G36" s="16" t="str">
        <f>INDEX(Products!$C$2:$C$9,MATCH(B36,Products!$A$2:$A$9,0))</f>
        <v>Electronics</v>
      </c>
      <c r="H36" s="16">
        <f>INDEX(Orders!$F$2:$F$201,MATCH(A36,Orders!$A$2:$A$201,0))</f>
        <v>202304</v>
      </c>
      <c r="I36" s="16" t="str">
        <f>INDEX(Orders!$E$2:$E$201,MATCH(A36,Orders!$A$2:$A$201,0))</f>
        <v>Jaipur</v>
      </c>
    </row>
    <row r="37" spans="1:9" x14ac:dyDescent="0.3">
      <c r="A37" s="16">
        <v>14</v>
      </c>
      <c r="B37" s="16">
        <v>2</v>
      </c>
      <c r="C37" s="16">
        <v>1</v>
      </c>
      <c r="D37" s="17">
        <v>60000</v>
      </c>
      <c r="E37" s="17">
        <f t="shared" si="0"/>
        <v>60000</v>
      </c>
      <c r="F37" s="16" t="str">
        <f>INDEX(Products!$B$2:$B$9,MATCH(B37,Products!$A$2:$A$9,0))</f>
        <v>Laptop 15" Pro</v>
      </c>
      <c r="G37" s="16" t="str">
        <f>INDEX(Products!$C$2:$C$9,MATCH(B37,Products!$A$2:$A$9,0))</f>
        <v>Electronics</v>
      </c>
      <c r="H37" s="16">
        <f>INDEX(Orders!$F$2:$F$201,MATCH(A37,Orders!$A$2:$A$201,0))</f>
        <v>202304</v>
      </c>
      <c r="I37" s="16" t="str">
        <f>INDEX(Orders!$E$2:$E$201,MATCH(A37,Orders!$A$2:$A$201,0))</f>
        <v>Jaipur</v>
      </c>
    </row>
    <row r="38" spans="1:9" x14ac:dyDescent="0.3">
      <c r="A38" s="16">
        <v>15</v>
      </c>
      <c r="B38" s="16">
        <v>6</v>
      </c>
      <c r="C38" s="16">
        <v>3</v>
      </c>
      <c r="D38" s="17">
        <v>7000</v>
      </c>
      <c r="E38" s="17">
        <f t="shared" si="0"/>
        <v>21000</v>
      </c>
      <c r="F38" s="16" t="str">
        <f>INDEX(Products!$B$2:$B$9,MATCH(B38,Products!$A$2:$A$9,0))</f>
        <v>Portable Bluetooth Speaker</v>
      </c>
      <c r="G38" s="16" t="str">
        <f>INDEX(Products!$C$2:$C$9,MATCH(B38,Products!$A$2:$A$9,0))</f>
        <v>Electronics</v>
      </c>
      <c r="H38" s="16">
        <f>INDEX(Orders!$F$2:$F$201,MATCH(A38,Orders!$A$2:$A$201,0))</f>
        <v>202305</v>
      </c>
      <c r="I38" s="16" t="str">
        <f>INDEX(Orders!$E$2:$E$201,MATCH(A38,Orders!$A$2:$A$201,0))</f>
        <v>Delhi</v>
      </c>
    </row>
    <row r="39" spans="1:9" x14ac:dyDescent="0.3">
      <c r="A39" s="16">
        <v>16</v>
      </c>
      <c r="B39" s="16">
        <v>7</v>
      </c>
      <c r="C39" s="16">
        <v>3</v>
      </c>
      <c r="D39" s="17">
        <v>40000</v>
      </c>
      <c r="E39" s="17">
        <f t="shared" si="0"/>
        <v>120000</v>
      </c>
      <c r="F39" s="16" t="str">
        <f>INDEX(Products!$B$2:$B$9,MATCH(B39,Products!$A$2:$A$9,0))</f>
        <v>Digital SLR Camera</v>
      </c>
      <c r="G39" s="16" t="str">
        <f>INDEX(Products!$C$2:$C$9,MATCH(B39,Products!$A$2:$A$9,0))</f>
        <v>Photography</v>
      </c>
      <c r="H39" s="16">
        <f>INDEX(Orders!$F$2:$F$201,MATCH(A39,Orders!$A$2:$A$201,0))</f>
        <v>202309</v>
      </c>
      <c r="I39" s="16" t="str">
        <f>INDEX(Orders!$E$2:$E$201,MATCH(A39,Orders!$A$2:$A$201,0))</f>
        <v>Lucknow</v>
      </c>
    </row>
    <row r="40" spans="1:9" x14ac:dyDescent="0.3">
      <c r="A40" s="16">
        <v>16</v>
      </c>
      <c r="B40" s="16">
        <v>7</v>
      </c>
      <c r="C40" s="16">
        <v>2</v>
      </c>
      <c r="D40" s="17">
        <v>40000</v>
      </c>
      <c r="E40" s="17">
        <f t="shared" si="0"/>
        <v>80000</v>
      </c>
      <c r="F40" s="16" t="str">
        <f>INDEX(Products!$B$2:$B$9,MATCH(B40,Products!$A$2:$A$9,0))</f>
        <v>Digital SLR Camera</v>
      </c>
      <c r="G40" s="16" t="str">
        <f>INDEX(Products!$C$2:$C$9,MATCH(B40,Products!$A$2:$A$9,0))</f>
        <v>Photography</v>
      </c>
      <c r="H40" s="16">
        <f>INDEX(Orders!$F$2:$F$201,MATCH(A40,Orders!$A$2:$A$201,0))</f>
        <v>202309</v>
      </c>
      <c r="I40" s="16" t="str">
        <f>INDEX(Orders!$E$2:$E$201,MATCH(A40,Orders!$A$2:$A$201,0))</f>
        <v>Lucknow</v>
      </c>
    </row>
    <row r="41" spans="1:9" x14ac:dyDescent="0.3">
      <c r="A41" s="16">
        <v>16</v>
      </c>
      <c r="B41" s="16">
        <v>2</v>
      </c>
      <c r="C41" s="16">
        <v>1</v>
      </c>
      <c r="D41" s="17">
        <v>60000</v>
      </c>
      <c r="E41" s="17">
        <f t="shared" si="0"/>
        <v>60000</v>
      </c>
      <c r="F41" s="16" t="str">
        <f>INDEX(Products!$B$2:$B$9,MATCH(B41,Products!$A$2:$A$9,0))</f>
        <v>Laptop 15" Pro</v>
      </c>
      <c r="G41" s="16" t="str">
        <f>INDEX(Products!$C$2:$C$9,MATCH(B41,Products!$A$2:$A$9,0))</f>
        <v>Electronics</v>
      </c>
      <c r="H41" s="16">
        <f>INDEX(Orders!$F$2:$F$201,MATCH(A41,Orders!$A$2:$A$201,0))</f>
        <v>202309</v>
      </c>
      <c r="I41" s="16" t="str">
        <f>INDEX(Orders!$E$2:$E$201,MATCH(A41,Orders!$A$2:$A$201,0))</f>
        <v>Lucknow</v>
      </c>
    </row>
    <row r="42" spans="1:9" x14ac:dyDescent="0.3">
      <c r="A42" s="16">
        <v>16</v>
      </c>
      <c r="B42" s="16">
        <v>7</v>
      </c>
      <c r="C42" s="16">
        <v>2</v>
      </c>
      <c r="D42" s="17">
        <v>40000</v>
      </c>
      <c r="E42" s="17">
        <f t="shared" si="0"/>
        <v>80000</v>
      </c>
      <c r="F42" s="16" t="str">
        <f>INDEX(Products!$B$2:$B$9,MATCH(B42,Products!$A$2:$A$9,0))</f>
        <v>Digital SLR Camera</v>
      </c>
      <c r="G42" s="16" t="str">
        <f>INDEX(Products!$C$2:$C$9,MATCH(B42,Products!$A$2:$A$9,0))</f>
        <v>Photography</v>
      </c>
      <c r="H42" s="16">
        <f>INDEX(Orders!$F$2:$F$201,MATCH(A42,Orders!$A$2:$A$201,0))</f>
        <v>202309</v>
      </c>
      <c r="I42" s="16" t="str">
        <f>INDEX(Orders!$E$2:$E$201,MATCH(A42,Orders!$A$2:$A$201,0))</f>
        <v>Lucknow</v>
      </c>
    </row>
    <row r="43" spans="1:9" x14ac:dyDescent="0.3">
      <c r="A43" s="16">
        <v>17</v>
      </c>
      <c r="B43" s="16">
        <v>8</v>
      </c>
      <c r="C43" s="16">
        <v>2</v>
      </c>
      <c r="D43" s="17">
        <v>3000</v>
      </c>
      <c r="E43" s="17">
        <f t="shared" si="0"/>
        <v>6000</v>
      </c>
      <c r="F43" s="16" t="str">
        <f>INDEX(Products!$B$2:$B$9,MATCH(B43,Products!$A$2:$A$9,0))</f>
        <v>Wireless Earbuds</v>
      </c>
      <c r="G43" s="16" t="str">
        <f>INDEX(Products!$C$2:$C$9,MATCH(B43,Products!$A$2:$A$9,0))</f>
        <v>Wearable Tech</v>
      </c>
      <c r="H43" s="16">
        <f>INDEX(Orders!$F$2:$F$201,MATCH(A43,Orders!$A$2:$A$201,0))</f>
        <v>202307</v>
      </c>
      <c r="I43" s="16" t="str">
        <f>INDEX(Orders!$E$2:$E$201,MATCH(A43,Orders!$A$2:$A$201,0))</f>
        <v>Chennai</v>
      </c>
    </row>
    <row r="44" spans="1:9" x14ac:dyDescent="0.3">
      <c r="A44" s="16">
        <v>17</v>
      </c>
      <c r="B44" s="16">
        <v>1</v>
      </c>
      <c r="C44" s="16">
        <v>2</v>
      </c>
      <c r="D44" s="17">
        <v>15000</v>
      </c>
      <c r="E44" s="17">
        <f t="shared" si="0"/>
        <v>30000</v>
      </c>
      <c r="F44" s="16" t="str">
        <f>INDEX(Products!$B$2:$B$9,MATCH(B44,Products!$A$2:$A$9,0))</f>
        <v>Smartphone 6"</v>
      </c>
      <c r="G44" s="16" t="str">
        <f>INDEX(Products!$C$2:$C$9,MATCH(B44,Products!$A$2:$A$9,0))</f>
        <v>Electronics</v>
      </c>
      <c r="H44" s="16">
        <f>INDEX(Orders!$F$2:$F$201,MATCH(A44,Orders!$A$2:$A$201,0))</f>
        <v>202307</v>
      </c>
      <c r="I44" s="16" t="str">
        <f>INDEX(Orders!$E$2:$E$201,MATCH(A44,Orders!$A$2:$A$201,0))</f>
        <v>Chennai</v>
      </c>
    </row>
    <row r="45" spans="1:9" x14ac:dyDescent="0.3">
      <c r="A45" s="16">
        <v>18</v>
      </c>
      <c r="B45" s="16">
        <v>4</v>
      </c>
      <c r="C45" s="16">
        <v>1</v>
      </c>
      <c r="D45" s="17">
        <v>12000</v>
      </c>
      <c r="E45" s="17">
        <f t="shared" si="0"/>
        <v>12000</v>
      </c>
      <c r="F45" s="16" t="str">
        <f>INDEX(Products!$B$2:$B$9,MATCH(B45,Products!$A$2:$A$9,0))</f>
        <v>E-Book Reader</v>
      </c>
      <c r="G45" s="16" t="str">
        <f>INDEX(Products!$C$2:$C$9,MATCH(B45,Products!$A$2:$A$9,0))</f>
        <v>Electronics</v>
      </c>
      <c r="H45" s="16">
        <f>INDEX(Orders!$F$2:$F$201,MATCH(A45,Orders!$A$2:$A$201,0))</f>
        <v>202309</v>
      </c>
      <c r="I45" s="16" t="str">
        <f>INDEX(Orders!$E$2:$E$201,MATCH(A45,Orders!$A$2:$A$201,0))</f>
        <v>Chennai</v>
      </c>
    </row>
    <row r="46" spans="1:9" x14ac:dyDescent="0.3">
      <c r="A46" s="16">
        <v>18</v>
      </c>
      <c r="B46" s="16">
        <v>1</v>
      </c>
      <c r="C46" s="16">
        <v>2</v>
      </c>
      <c r="D46" s="17">
        <v>15000</v>
      </c>
      <c r="E46" s="17">
        <f t="shared" si="0"/>
        <v>30000</v>
      </c>
      <c r="F46" s="16" t="str">
        <f>INDEX(Products!$B$2:$B$9,MATCH(B46,Products!$A$2:$A$9,0))</f>
        <v>Smartphone 6"</v>
      </c>
      <c r="G46" s="16" t="str">
        <f>INDEX(Products!$C$2:$C$9,MATCH(B46,Products!$A$2:$A$9,0))</f>
        <v>Electronics</v>
      </c>
      <c r="H46" s="16">
        <f>INDEX(Orders!$F$2:$F$201,MATCH(A46,Orders!$A$2:$A$201,0))</f>
        <v>202309</v>
      </c>
      <c r="I46" s="16" t="str">
        <f>INDEX(Orders!$E$2:$E$201,MATCH(A46,Orders!$A$2:$A$201,0))</f>
        <v>Chennai</v>
      </c>
    </row>
    <row r="47" spans="1:9" x14ac:dyDescent="0.3">
      <c r="A47" s="16">
        <v>18</v>
      </c>
      <c r="B47" s="16">
        <v>2</v>
      </c>
      <c r="C47" s="16">
        <v>2</v>
      </c>
      <c r="D47" s="17">
        <v>60000</v>
      </c>
      <c r="E47" s="17">
        <f t="shared" si="0"/>
        <v>120000</v>
      </c>
      <c r="F47" s="16" t="str">
        <f>INDEX(Products!$B$2:$B$9,MATCH(B47,Products!$A$2:$A$9,0))</f>
        <v>Laptop 15" Pro</v>
      </c>
      <c r="G47" s="16" t="str">
        <f>INDEX(Products!$C$2:$C$9,MATCH(B47,Products!$A$2:$A$9,0))</f>
        <v>Electronics</v>
      </c>
      <c r="H47" s="16">
        <f>INDEX(Orders!$F$2:$F$201,MATCH(A47,Orders!$A$2:$A$201,0))</f>
        <v>202309</v>
      </c>
      <c r="I47" s="16" t="str">
        <f>INDEX(Orders!$E$2:$E$201,MATCH(A47,Orders!$A$2:$A$201,0))</f>
        <v>Chennai</v>
      </c>
    </row>
    <row r="48" spans="1:9" x14ac:dyDescent="0.3">
      <c r="A48" s="16">
        <v>18</v>
      </c>
      <c r="B48" s="16">
        <v>2</v>
      </c>
      <c r="C48" s="16">
        <v>2</v>
      </c>
      <c r="D48" s="17">
        <v>60000</v>
      </c>
      <c r="E48" s="17">
        <f t="shared" si="0"/>
        <v>120000</v>
      </c>
      <c r="F48" s="16" t="str">
        <f>INDEX(Products!$B$2:$B$9,MATCH(B48,Products!$A$2:$A$9,0))</f>
        <v>Laptop 15" Pro</v>
      </c>
      <c r="G48" s="16" t="str">
        <f>INDEX(Products!$C$2:$C$9,MATCH(B48,Products!$A$2:$A$9,0))</f>
        <v>Electronics</v>
      </c>
      <c r="H48" s="16">
        <f>INDEX(Orders!$F$2:$F$201,MATCH(A48,Orders!$A$2:$A$201,0))</f>
        <v>202309</v>
      </c>
      <c r="I48" s="16" t="str">
        <f>INDEX(Orders!$E$2:$E$201,MATCH(A48,Orders!$A$2:$A$201,0))</f>
        <v>Chennai</v>
      </c>
    </row>
    <row r="49" spans="1:9" x14ac:dyDescent="0.3">
      <c r="A49" s="16">
        <v>19</v>
      </c>
      <c r="B49" s="16">
        <v>7</v>
      </c>
      <c r="C49" s="16">
        <v>3</v>
      </c>
      <c r="D49" s="17">
        <v>40000</v>
      </c>
      <c r="E49" s="17">
        <f t="shared" si="0"/>
        <v>120000</v>
      </c>
      <c r="F49" s="16" t="str">
        <f>INDEX(Products!$B$2:$B$9,MATCH(B49,Products!$A$2:$A$9,0))</f>
        <v>Digital SLR Camera</v>
      </c>
      <c r="G49" s="16" t="str">
        <f>INDEX(Products!$C$2:$C$9,MATCH(B49,Products!$A$2:$A$9,0))</f>
        <v>Photography</v>
      </c>
      <c r="H49" s="16">
        <f>INDEX(Orders!$F$2:$F$201,MATCH(A49,Orders!$A$2:$A$201,0))</f>
        <v>202305</v>
      </c>
      <c r="I49" s="16" t="str">
        <f>INDEX(Orders!$E$2:$E$201,MATCH(A49,Orders!$A$2:$A$201,0))</f>
        <v>Ahmedabad</v>
      </c>
    </row>
    <row r="50" spans="1:9" x14ac:dyDescent="0.3">
      <c r="A50" s="16">
        <v>19</v>
      </c>
      <c r="B50" s="16">
        <v>3</v>
      </c>
      <c r="C50" s="16">
        <v>1</v>
      </c>
      <c r="D50" s="17">
        <v>8000</v>
      </c>
      <c r="E50" s="17">
        <f t="shared" si="0"/>
        <v>8000</v>
      </c>
      <c r="F50" s="16" t="str">
        <f>INDEX(Products!$B$2:$B$9,MATCH(B50,Products!$A$2:$A$9,0))</f>
        <v>Bluetooth Headphones</v>
      </c>
      <c r="G50" s="16" t="str">
        <f>INDEX(Products!$C$2:$C$9,MATCH(B50,Products!$A$2:$A$9,0))</f>
        <v>Electronics</v>
      </c>
      <c r="H50" s="16">
        <f>INDEX(Orders!$F$2:$F$201,MATCH(A50,Orders!$A$2:$A$201,0))</f>
        <v>202305</v>
      </c>
      <c r="I50" s="16" t="str">
        <f>INDEX(Orders!$E$2:$E$201,MATCH(A50,Orders!$A$2:$A$201,0))</f>
        <v>Ahmedabad</v>
      </c>
    </row>
    <row r="51" spans="1:9" x14ac:dyDescent="0.3">
      <c r="A51" s="16">
        <v>20</v>
      </c>
      <c r="B51" s="16">
        <v>1</v>
      </c>
      <c r="C51" s="16">
        <v>1</v>
      </c>
      <c r="D51" s="17">
        <v>15000</v>
      </c>
      <c r="E51" s="17">
        <f t="shared" si="0"/>
        <v>15000</v>
      </c>
      <c r="F51" s="16" t="str">
        <f>INDEX(Products!$B$2:$B$9,MATCH(B51,Products!$A$2:$A$9,0))</f>
        <v>Smartphone 6"</v>
      </c>
      <c r="G51" s="16" t="str">
        <f>INDEX(Products!$C$2:$C$9,MATCH(B51,Products!$A$2:$A$9,0))</f>
        <v>Electronics</v>
      </c>
      <c r="H51" s="16">
        <f>INDEX(Orders!$F$2:$F$201,MATCH(A51,Orders!$A$2:$A$201,0))</f>
        <v>202306</v>
      </c>
      <c r="I51" s="16" t="str">
        <f>INDEX(Orders!$E$2:$E$201,MATCH(A51,Orders!$A$2:$A$201,0))</f>
        <v>Kolkata</v>
      </c>
    </row>
    <row r="52" spans="1:9" x14ac:dyDescent="0.3">
      <c r="A52" s="16">
        <v>20</v>
      </c>
      <c r="B52" s="16">
        <v>3</v>
      </c>
      <c r="C52" s="16">
        <v>1</v>
      </c>
      <c r="D52" s="17">
        <v>8000</v>
      </c>
      <c r="E52" s="17">
        <f t="shared" si="0"/>
        <v>8000</v>
      </c>
      <c r="F52" s="16" t="str">
        <f>INDEX(Products!$B$2:$B$9,MATCH(B52,Products!$A$2:$A$9,0))</f>
        <v>Bluetooth Headphones</v>
      </c>
      <c r="G52" s="16" t="str">
        <f>INDEX(Products!$C$2:$C$9,MATCH(B52,Products!$A$2:$A$9,0))</f>
        <v>Electronics</v>
      </c>
      <c r="H52" s="16">
        <f>INDEX(Orders!$F$2:$F$201,MATCH(A52,Orders!$A$2:$A$201,0))</f>
        <v>202306</v>
      </c>
      <c r="I52" s="16" t="str">
        <f>INDEX(Orders!$E$2:$E$201,MATCH(A52,Orders!$A$2:$A$201,0))</f>
        <v>Kolkata</v>
      </c>
    </row>
    <row r="53" spans="1:9" x14ac:dyDescent="0.3">
      <c r="A53" s="16">
        <v>21</v>
      </c>
      <c r="B53" s="16">
        <v>5</v>
      </c>
      <c r="C53" s="16">
        <v>2</v>
      </c>
      <c r="D53" s="17">
        <v>5000</v>
      </c>
      <c r="E53" s="17">
        <f t="shared" si="0"/>
        <v>10000</v>
      </c>
      <c r="F53" s="16" t="str">
        <f>INDEX(Products!$B$2:$B$9,MATCH(B53,Products!$A$2:$A$9,0))</f>
        <v>Smartwatch Fitness Tracker</v>
      </c>
      <c r="G53" s="16" t="str">
        <f>INDEX(Products!$C$2:$C$9,MATCH(B53,Products!$A$2:$A$9,0))</f>
        <v>Wearable Tech</v>
      </c>
      <c r="H53" s="16">
        <f>INDEX(Orders!$F$2:$F$201,MATCH(A53,Orders!$A$2:$A$201,0))</f>
        <v>202304</v>
      </c>
      <c r="I53" s="16" t="str">
        <f>INDEX(Orders!$E$2:$E$201,MATCH(A53,Orders!$A$2:$A$201,0))</f>
        <v>Lucknow</v>
      </c>
    </row>
    <row r="54" spans="1:9" x14ac:dyDescent="0.3">
      <c r="A54" s="16">
        <v>21</v>
      </c>
      <c r="B54" s="16">
        <v>3</v>
      </c>
      <c r="C54" s="16">
        <v>1</v>
      </c>
      <c r="D54" s="17">
        <v>8000</v>
      </c>
      <c r="E54" s="17">
        <f t="shared" si="0"/>
        <v>8000</v>
      </c>
      <c r="F54" s="16" t="str">
        <f>INDEX(Products!$B$2:$B$9,MATCH(B54,Products!$A$2:$A$9,0))</f>
        <v>Bluetooth Headphones</v>
      </c>
      <c r="G54" s="16" t="str">
        <f>INDEX(Products!$C$2:$C$9,MATCH(B54,Products!$A$2:$A$9,0))</f>
        <v>Electronics</v>
      </c>
      <c r="H54" s="16">
        <f>INDEX(Orders!$F$2:$F$201,MATCH(A54,Orders!$A$2:$A$201,0))</f>
        <v>202304</v>
      </c>
      <c r="I54" s="16" t="str">
        <f>INDEX(Orders!$E$2:$E$201,MATCH(A54,Orders!$A$2:$A$201,0))</f>
        <v>Lucknow</v>
      </c>
    </row>
    <row r="55" spans="1:9" x14ac:dyDescent="0.3">
      <c r="A55" s="16">
        <v>22</v>
      </c>
      <c r="B55" s="16">
        <v>6</v>
      </c>
      <c r="C55" s="16">
        <v>3</v>
      </c>
      <c r="D55" s="17">
        <v>7000</v>
      </c>
      <c r="E55" s="17">
        <f t="shared" si="0"/>
        <v>21000</v>
      </c>
      <c r="F55" s="16" t="str">
        <f>INDEX(Products!$B$2:$B$9,MATCH(B55,Products!$A$2:$A$9,0))</f>
        <v>Portable Bluetooth Speaker</v>
      </c>
      <c r="G55" s="16" t="str">
        <f>INDEX(Products!$C$2:$C$9,MATCH(B55,Products!$A$2:$A$9,0))</f>
        <v>Electronics</v>
      </c>
      <c r="H55" s="16">
        <f>INDEX(Orders!$F$2:$F$201,MATCH(A55,Orders!$A$2:$A$201,0))</f>
        <v>202308</v>
      </c>
      <c r="I55" s="16" t="str">
        <f>INDEX(Orders!$E$2:$E$201,MATCH(A55,Orders!$A$2:$A$201,0))</f>
        <v>Bangalore</v>
      </c>
    </row>
    <row r="56" spans="1:9" x14ac:dyDescent="0.3">
      <c r="A56" s="16">
        <v>22</v>
      </c>
      <c r="B56" s="16">
        <v>3</v>
      </c>
      <c r="C56" s="16">
        <v>2</v>
      </c>
      <c r="D56" s="17">
        <v>8000</v>
      </c>
      <c r="E56" s="17">
        <f t="shared" si="0"/>
        <v>16000</v>
      </c>
      <c r="F56" s="16" t="str">
        <f>INDEX(Products!$B$2:$B$9,MATCH(B56,Products!$A$2:$A$9,0))</f>
        <v>Bluetooth Headphones</v>
      </c>
      <c r="G56" s="16" t="str">
        <f>INDEX(Products!$C$2:$C$9,MATCH(B56,Products!$A$2:$A$9,0))</f>
        <v>Electronics</v>
      </c>
      <c r="H56" s="16">
        <f>INDEX(Orders!$F$2:$F$201,MATCH(A56,Orders!$A$2:$A$201,0))</f>
        <v>202308</v>
      </c>
      <c r="I56" s="16" t="str">
        <f>INDEX(Orders!$E$2:$E$201,MATCH(A56,Orders!$A$2:$A$201,0))</f>
        <v>Bangalore</v>
      </c>
    </row>
    <row r="57" spans="1:9" x14ac:dyDescent="0.3">
      <c r="A57" s="16">
        <v>23</v>
      </c>
      <c r="B57" s="16">
        <v>4</v>
      </c>
      <c r="C57" s="16">
        <v>1</v>
      </c>
      <c r="D57" s="17">
        <v>12000</v>
      </c>
      <c r="E57" s="17">
        <f t="shared" si="0"/>
        <v>12000</v>
      </c>
      <c r="F57" s="16" t="str">
        <f>INDEX(Products!$B$2:$B$9,MATCH(B57,Products!$A$2:$A$9,0))</f>
        <v>E-Book Reader</v>
      </c>
      <c r="G57" s="16" t="str">
        <f>INDEX(Products!$C$2:$C$9,MATCH(B57,Products!$A$2:$A$9,0))</f>
        <v>Electronics</v>
      </c>
      <c r="H57" s="16">
        <f>INDEX(Orders!$F$2:$F$201,MATCH(A57,Orders!$A$2:$A$201,0))</f>
        <v>202305</v>
      </c>
      <c r="I57" s="16" t="str">
        <f>INDEX(Orders!$E$2:$E$201,MATCH(A57,Orders!$A$2:$A$201,0))</f>
        <v>Jaipur</v>
      </c>
    </row>
    <row r="58" spans="1:9" x14ac:dyDescent="0.3">
      <c r="A58" s="16">
        <v>24</v>
      </c>
      <c r="B58" s="16">
        <v>7</v>
      </c>
      <c r="C58" s="16">
        <v>1</v>
      </c>
      <c r="D58" s="17">
        <v>40000</v>
      </c>
      <c r="E58" s="17">
        <f t="shared" si="0"/>
        <v>40000</v>
      </c>
      <c r="F58" s="16" t="str">
        <f>INDEX(Products!$B$2:$B$9,MATCH(B58,Products!$A$2:$A$9,0))</f>
        <v>Digital SLR Camera</v>
      </c>
      <c r="G58" s="16" t="str">
        <f>INDEX(Products!$C$2:$C$9,MATCH(B58,Products!$A$2:$A$9,0))</f>
        <v>Photography</v>
      </c>
      <c r="H58" s="16">
        <f>INDEX(Orders!$F$2:$F$201,MATCH(A58,Orders!$A$2:$A$201,0))</f>
        <v>202305</v>
      </c>
      <c r="I58" s="16" t="str">
        <f>INDEX(Orders!$E$2:$E$201,MATCH(A58,Orders!$A$2:$A$201,0))</f>
        <v>Mumbai</v>
      </c>
    </row>
    <row r="59" spans="1:9" x14ac:dyDescent="0.3">
      <c r="A59" s="16">
        <v>24</v>
      </c>
      <c r="B59" s="16">
        <v>1</v>
      </c>
      <c r="C59" s="16">
        <v>1</v>
      </c>
      <c r="D59" s="17">
        <v>15000</v>
      </c>
      <c r="E59" s="17">
        <f t="shared" si="0"/>
        <v>15000</v>
      </c>
      <c r="F59" s="16" t="str">
        <f>INDEX(Products!$B$2:$B$9,MATCH(B59,Products!$A$2:$A$9,0))</f>
        <v>Smartphone 6"</v>
      </c>
      <c r="G59" s="16" t="str">
        <f>INDEX(Products!$C$2:$C$9,MATCH(B59,Products!$A$2:$A$9,0))</f>
        <v>Electronics</v>
      </c>
      <c r="H59" s="16">
        <f>INDEX(Orders!$F$2:$F$201,MATCH(A59,Orders!$A$2:$A$201,0))</f>
        <v>202305</v>
      </c>
      <c r="I59" s="16" t="str">
        <f>INDEX(Orders!$E$2:$E$201,MATCH(A59,Orders!$A$2:$A$201,0))</f>
        <v>Mumbai</v>
      </c>
    </row>
    <row r="60" spans="1:9" x14ac:dyDescent="0.3">
      <c r="A60" s="16">
        <v>24</v>
      </c>
      <c r="B60" s="16">
        <v>4</v>
      </c>
      <c r="C60" s="16">
        <v>1</v>
      </c>
      <c r="D60" s="17">
        <v>12000</v>
      </c>
      <c r="E60" s="17">
        <f t="shared" si="0"/>
        <v>12000</v>
      </c>
      <c r="F60" s="16" t="str">
        <f>INDEX(Products!$B$2:$B$9,MATCH(B60,Products!$A$2:$A$9,0))</f>
        <v>E-Book Reader</v>
      </c>
      <c r="G60" s="16" t="str">
        <f>INDEX(Products!$C$2:$C$9,MATCH(B60,Products!$A$2:$A$9,0))</f>
        <v>Electronics</v>
      </c>
      <c r="H60" s="16">
        <f>INDEX(Orders!$F$2:$F$201,MATCH(A60,Orders!$A$2:$A$201,0))</f>
        <v>202305</v>
      </c>
      <c r="I60" s="16" t="str">
        <f>INDEX(Orders!$E$2:$E$201,MATCH(A60,Orders!$A$2:$A$201,0))</f>
        <v>Mumbai</v>
      </c>
    </row>
    <row r="61" spans="1:9" x14ac:dyDescent="0.3">
      <c r="A61" s="16">
        <v>24</v>
      </c>
      <c r="B61" s="16">
        <v>4</v>
      </c>
      <c r="C61" s="16">
        <v>2</v>
      </c>
      <c r="D61" s="17">
        <v>12000</v>
      </c>
      <c r="E61" s="17">
        <f t="shared" si="0"/>
        <v>24000</v>
      </c>
      <c r="F61" s="16" t="str">
        <f>INDEX(Products!$B$2:$B$9,MATCH(B61,Products!$A$2:$A$9,0))</f>
        <v>E-Book Reader</v>
      </c>
      <c r="G61" s="16" t="str">
        <f>INDEX(Products!$C$2:$C$9,MATCH(B61,Products!$A$2:$A$9,0))</f>
        <v>Electronics</v>
      </c>
      <c r="H61" s="16">
        <f>INDEX(Orders!$F$2:$F$201,MATCH(A61,Orders!$A$2:$A$201,0))</f>
        <v>202305</v>
      </c>
      <c r="I61" s="16" t="str">
        <f>INDEX(Orders!$E$2:$E$201,MATCH(A61,Orders!$A$2:$A$201,0))</f>
        <v>Mumbai</v>
      </c>
    </row>
    <row r="62" spans="1:9" x14ac:dyDescent="0.3">
      <c r="A62" s="16">
        <v>25</v>
      </c>
      <c r="B62" s="16">
        <v>1</v>
      </c>
      <c r="C62" s="16">
        <v>2</v>
      </c>
      <c r="D62" s="17">
        <v>15000</v>
      </c>
      <c r="E62" s="17">
        <f t="shared" si="0"/>
        <v>30000</v>
      </c>
      <c r="F62" s="16" t="str">
        <f>INDEX(Products!$B$2:$B$9,MATCH(B62,Products!$A$2:$A$9,0))</f>
        <v>Smartphone 6"</v>
      </c>
      <c r="G62" s="16" t="str">
        <f>INDEX(Products!$C$2:$C$9,MATCH(B62,Products!$A$2:$A$9,0))</f>
        <v>Electronics</v>
      </c>
      <c r="H62" s="16">
        <f>INDEX(Orders!$F$2:$F$201,MATCH(A62,Orders!$A$2:$A$201,0))</f>
        <v>202305</v>
      </c>
      <c r="I62" s="16" t="str">
        <f>INDEX(Orders!$E$2:$E$201,MATCH(A62,Orders!$A$2:$A$201,0))</f>
        <v>Jaipur</v>
      </c>
    </row>
    <row r="63" spans="1:9" x14ac:dyDescent="0.3">
      <c r="A63" s="16">
        <v>25</v>
      </c>
      <c r="B63" s="16">
        <v>6</v>
      </c>
      <c r="C63" s="16">
        <v>3</v>
      </c>
      <c r="D63" s="17">
        <v>7000</v>
      </c>
      <c r="E63" s="17">
        <f t="shared" si="0"/>
        <v>21000</v>
      </c>
      <c r="F63" s="16" t="str">
        <f>INDEX(Products!$B$2:$B$9,MATCH(B63,Products!$A$2:$A$9,0))</f>
        <v>Portable Bluetooth Speaker</v>
      </c>
      <c r="G63" s="16" t="str">
        <f>INDEX(Products!$C$2:$C$9,MATCH(B63,Products!$A$2:$A$9,0))</f>
        <v>Electronics</v>
      </c>
      <c r="H63" s="16">
        <f>INDEX(Orders!$F$2:$F$201,MATCH(A63,Orders!$A$2:$A$201,0))</f>
        <v>202305</v>
      </c>
      <c r="I63" s="16" t="str">
        <f>INDEX(Orders!$E$2:$E$201,MATCH(A63,Orders!$A$2:$A$201,0))</f>
        <v>Jaipur</v>
      </c>
    </row>
    <row r="64" spans="1:9" x14ac:dyDescent="0.3">
      <c r="A64" s="16">
        <v>26</v>
      </c>
      <c r="B64" s="16">
        <v>3</v>
      </c>
      <c r="C64" s="16">
        <v>2</v>
      </c>
      <c r="D64" s="17">
        <v>8000</v>
      </c>
      <c r="E64" s="17">
        <f t="shared" si="0"/>
        <v>16000</v>
      </c>
      <c r="F64" s="16" t="str">
        <f>INDEX(Products!$B$2:$B$9,MATCH(B64,Products!$A$2:$A$9,0))</f>
        <v>Bluetooth Headphones</v>
      </c>
      <c r="G64" s="16" t="str">
        <f>INDEX(Products!$C$2:$C$9,MATCH(B64,Products!$A$2:$A$9,0))</f>
        <v>Electronics</v>
      </c>
      <c r="H64" s="16">
        <f>INDEX(Orders!$F$2:$F$201,MATCH(A64,Orders!$A$2:$A$201,0))</f>
        <v>202305</v>
      </c>
      <c r="I64" s="16" t="str">
        <f>INDEX(Orders!$E$2:$E$201,MATCH(A64,Orders!$A$2:$A$201,0))</f>
        <v>Chennai</v>
      </c>
    </row>
    <row r="65" spans="1:9" x14ac:dyDescent="0.3">
      <c r="A65" s="16">
        <v>26</v>
      </c>
      <c r="B65" s="16">
        <v>5</v>
      </c>
      <c r="C65" s="16">
        <v>1</v>
      </c>
      <c r="D65" s="17">
        <v>5000</v>
      </c>
      <c r="E65" s="17">
        <f t="shared" si="0"/>
        <v>5000</v>
      </c>
      <c r="F65" s="16" t="str">
        <f>INDEX(Products!$B$2:$B$9,MATCH(B65,Products!$A$2:$A$9,0))</f>
        <v>Smartwatch Fitness Tracker</v>
      </c>
      <c r="G65" s="16" t="str">
        <f>INDEX(Products!$C$2:$C$9,MATCH(B65,Products!$A$2:$A$9,0))</f>
        <v>Wearable Tech</v>
      </c>
      <c r="H65" s="16">
        <f>INDEX(Orders!$F$2:$F$201,MATCH(A65,Orders!$A$2:$A$201,0))</f>
        <v>202305</v>
      </c>
      <c r="I65" s="16" t="str">
        <f>INDEX(Orders!$E$2:$E$201,MATCH(A65,Orders!$A$2:$A$201,0))</f>
        <v>Chennai</v>
      </c>
    </row>
    <row r="66" spans="1:9" x14ac:dyDescent="0.3">
      <c r="A66" s="16">
        <v>26</v>
      </c>
      <c r="B66" s="16">
        <v>8</v>
      </c>
      <c r="C66" s="16">
        <v>1</v>
      </c>
      <c r="D66" s="17">
        <v>3000</v>
      </c>
      <c r="E66" s="17">
        <f t="shared" ref="E66:E129" si="1">C66*D66</f>
        <v>3000</v>
      </c>
      <c r="F66" s="16" t="str">
        <f>INDEX(Products!$B$2:$B$9,MATCH(B66,Products!$A$2:$A$9,0))</f>
        <v>Wireless Earbuds</v>
      </c>
      <c r="G66" s="16" t="str">
        <f>INDEX(Products!$C$2:$C$9,MATCH(B66,Products!$A$2:$A$9,0))</f>
        <v>Wearable Tech</v>
      </c>
      <c r="H66" s="16">
        <f>INDEX(Orders!$F$2:$F$201,MATCH(A66,Orders!$A$2:$A$201,0))</f>
        <v>202305</v>
      </c>
      <c r="I66" s="16" t="str">
        <f>INDEX(Orders!$E$2:$E$201,MATCH(A66,Orders!$A$2:$A$201,0))</f>
        <v>Chennai</v>
      </c>
    </row>
    <row r="67" spans="1:9" x14ac:dyDescent="0.3">
      <c r="A67" s="16">
        <v>27</v>
      </c>
      <c r="B67" s="16">
        <v>4</v>
      </c>
      <c r="C67" s="16">
        <v>2</v>
      </c>
      <c r="D67" s="17">
        <v>12000</v>
      </c>
      <c r="E67" s="17">
        <f t="shared" si="1"/>
        <v>24000</v>
      </c>
      <c r="F67" s="16" t="str">
        <f>INDEX(Products!$B$2:$B$9,MATCH(B67,Products!$A$2:$A$9,0))</f>
        <v>E-Book Reader</v>
      </c>
      <c r="G67" s="16" t="str">
        <f>INDEX(Products!$C$2:$C$9,MATCH(B67,Products!$A$2:$A$9,0))</f>
        <v>Electronics</v>
      </c>
      <c r="H67" s="16">
        <f>INDEX(Orders!$F$2:$F$201,MATCH(A67,Orders!$A$2:$A$201,0))</f>
        <v>202310</v>
      </c>
      <c r="I67" s="16" t="str">
        <f>INDEX(Orders!$E$2:$E$201,MATCH(A67,Orders!$A$2:$A$201,0))</f>
        <v>Delhi</v>
      </c>
    </row>
    <row r="68" spans="1:9" x14ac:dyDescent="0.3">
      <c r="A68" s="16">
        <v>27</v>
      </c>
      <c r="B68" s="16">
        <v>8</v>
      </c>
      <c r="C68" s="16">
        <v>2</v>
      </c>
      <c r="D68" s="17">
        <v>3000</v>
      </c>
      <c r="E68" s="17">
        <f t="shared" si="1"/>
        <v>6000</v>
      </c>
      <c r="F68" s="16" t="str">
        <f>INDEX(Products!$B$2:$B$9,MATCH(B68,Products!$A$2:$A$9,0))</f>
        <v>Wireless Earbuds</v>
      </c>
      <c r="G68" s="16" t="str">
        <f>INDEX(Products!$C$2:$C$9,MATCH(B68,Products!$A$2:$A$9,0))</f>
        <v>Wearable Tech</v>
      </c>
      <c r="H68" s="16">
        <f>INDEX(Orders!$F$2:$F$201,MATCH(A68,Orders!$A$2:$A$201,0))</f>
        <v>202310</v>
      </c>
      <c r="I68" s="16" t="str">
        <f>INDEX(Orders!$E$2:$E$201,MATCH(A68,Orders!$A$2:$A$201,0))</f>
        <v>Delhi</v>
      </c>
    </row>
    <row r="69" spans="1:9" x14ac:dyDescent="0.3">
      <c r="A69" s="16">
        <v>27</v>
      </c>
      <c r="B69" s="16">
        <v>4</v>
      </c>
      <c r="C69" s="16">
        <v>3</v>
      </c>
      <c r="D69" s="17">
        <v>12000</v>
      </c>
      <c r="E69" s="17">
        <f t="shared" si="1"/>
        <v>36000</v>
      </c>
      <c r="F69" s="16" t="str">
        <f>INDEX(Products!$B$2:$B$9,MATCH(B69,Products!$A$2:$A$9,0))</f>
        <v>E-Book Reader</v>
      </c>
      <c r="G69" s="16" t="str">
        <f>INDEX(Products!$C$2:$C$9,MATCH(B69,Products!$A$2:$A$9,0))</f>
        <v>Electronics</v>
      </c>
      <c r="H69" s="16">
        <f>INDEX(Orders!$F$2:$F$201,MATCH(A69,Orders!$A$2:$A$201,0))</f>
        <v>202310</v>
      </c>
      <c r="I69" s="16" t="str">
        <f>INDEX(Orders!$E$2:$E$201,MATCH(A69,Orders!$A$2:$A$201,0))</f>
        <v>Delhi</v>
      </c>
    </row>
    <row r="70" spans="1:9" x14ac:dyDescent="0.3">
      <c r="A70" s="16">
        <v>28</v>
      </c>
      <c r="B70" s="16">
        <v>8</v>
      </c>
      <c r="C70" s="16">
        <v>3</v>
      </c>
      <c r="D70" s="17">
        <v>3000</v>
      </c>
      <c r="E70" s="17">
        <f t="shared" si="1"/>
        <v>9000</v>
      </c>
      <c r="F70" s="16" t="str">
        <f>INDEX(Products!$B$2:$B$9,MATCH(B70,Products!$A$2:$A$9,0))</f>
        <v>Wireless Earbuds</v>
      </c>
      <c r="G70" s="16" t="str">
        <f>INDEX(Products!$C$2:$C$9,MATCH(B70,Products!$A$2:$A$9,0))</f>
        <v>Wearable Tech</v>
      </c>
      <c r="H70" s="16">
        <f>INDEX(Orders!$F$2:$F$201,MATCH(A70,Orders!$A$2:$A$201,0))</f>
        <v>202402</v>
      </c>
      <c r="I70" s="16" t="str">
        <f>INDEX(Orders!$E$2:$E$201,MATCH(A70,Orders!$A$2:$A$201,0))</f>
        <v>Kolkata</v>
      </c>
    </row>
    <row r="71" spans="1:9" x14ac:dyDescent="0.3">
      <c r="A71" s="16">
        <v>29</v>
      </c>
      <c r="B71" s="16">
        <v>5</v>
      </c>
      <c r="C71" s="16">
        <v>3</v>
      </c>
      <c r="D71" s="17">
        <v>5000</v>
      </c>
      <c r="E71" s="17">
        <f t="shared" si="1"/>
        <v>15000</v>
      </c>
      <c r="F71" s="16" t="str">
        <f>INDEX(Products!$B$2:$B$9,MATCH(B71,Products!$A$2:$A$9,0))</f>
        <v>Smartwatch Fitness Tracker</v>
      </c>
      <c r="G71" s="16" t="str">
        <f>INDEX(Products!$C$2:$C$9,MATCH(B71,Products!$A$2:$A$9,0))</f>
        <v>Wearable Tech</v>
      </c>
      <c r="H71" s="16">
        <f>INDEX(Orders!$F$2:$F$201,MATCH(A71,Orders!$A$2:$A$201,0))</f>
        <v>202311</v>
      </c>
      <c r="I71" s="16" t="str">
        <f>INDEX(Orders!$E$2:$E$201,MATCH(A71,Orders!$A$2:$A$201,0))</f>
        <v>Lucknow</v>
      </c>
    </row>
    <row r="72" spans="1:9" x14ac:dyDescent="0.3">
      <c r="A72" s="16">
        <v>30</v>
      </c>
      <c r="B72" s="16">
        <v>4</v>
      </c>
      <c r="C72" s="16">
        <v>1</v>
      </c>
      <c r="D72" s="17">
        <v>12000</v>
      </c>
      <c r="E72" s="17">
        <f t="shared" si="1"/>
        <v>12000</v>
      </c>
      <c r="F72" s="16" t="str">
        <f>INDEX(Products!$B$2:$B$9,MATCH(B72,Products!$A$2:$A$9,0))</f>
        <v>E-Book Reader</v>
      </c>
      <c r="G72" s="16" t="str">
        <f>INDEX(Products!$C$2:$C$9,MATCH(B72,Products!$A$2:$A$9,0))</f>
        <v>Electronics</v>
      </c>
      <c r="H72" s="16">
        <f>INDEX(Orders!$F$2:$F$201,MATCH(A72,Orders!$A$2:$A$201,0))</f>
        <v>202309</v>
      </c>
      <c r="I72" s="16" t="str">
        <f>INDEX(Orders!$E$2:$E$201,MATCH(A72,Orders!$A$2:$A$201,0))</f>
        <v>Hyderabad</v>
      </c>
    </row>
    <row r="73" spans="1:9" x14ac:dyDescent="0.3">
      <c r="A73" s="16">
        <v>31</v>
      </c>
      <c r="B73" s="16">
        <v>3</v>
      </c>
      <c r="C73" s="16">
        <v>2</v>
      </c>
      <c r="D73" s="17">
        <v>8000</v>
      </c>
      <c r="E73" s="17">
        <f t="shared" si="1"/>
        <v>16000</v>
      </c>
      <c r="F73" s="16" t="str">
        <f>INDEX(Products!$B$2:$B$9,MATCH(B73,Products!$A$2:$A$9,0))</f>
        <v>Bluetooth Headphones</v>
      </c>
      <c r="G73" s="16" t="str">
        <f>INDEX(Products!$C$2:$C$9,MATCH(B73,Products!$A$2:$A$9,0))</f>
        <v>Electronics</v>
      </c>
      <c r="H73" s="16">
        <f>INDEX(Orders!$F$2:$F$201,MATCH(A73,Orders!$A$2:$A$201,0))</f>
        <v>202308</v>
      </c>
      <c r="I73" s="16" t="str">
        <f>INDEX(Orders!$E$2:$E$201,MATCH(A73,Orders!$A$2:$A$201,0))</f>
        <v>Pune</v>
      </c>
    </row>
    <row r="74" spans="1:9" x14ac:dyDescent="0.3">
      <c r="A74" s="16">
        <v>31</v>
      </c>
      <c r="B74" s="16">
        <v>4</v>
      </c>
      <c r="C74" s="16">
        <v>2</v>
      </c>
      <c r="D74" s="17">
        <v>12000</v>
      </c>
      <c r="E74" s="17">
        <f t="shared" si="1"/>
        <v>24000</v>
      </c>
      <c r="F74" s="16" t="str">
        <f>INDEX(Products!$B$2:$B$9,MATCH(B74,Products!$A$2:$A$9,0))</f>
        <v>E-Book Reader</v>
      </c>
      <c r="G74" s="16" t="str">
        <f>INDEX(Products!$C$2:$C$9,MATCH(B74,Products!$A$2:$A$9,0))</f>
        <v>Electronics</v>
      </c>
      <c r="H74" s="16">
        <f>INDEX(Orders!$F$2:$F$201,MATCH(A74,Orders!$A$2:$A$201,0))</f>
        <v>202308</v>
      </c>
      <c r="I74" s="16" t="str">
        <f>INDEX(Orders!$E$2:$E$201,MATCH(A74,Orders!$A$2:$A$201,0))</f>
        <v>Pune</v>
      </c>
    </row>
    <row r="75" spans="1:9" x14ac:dyDescent="0.3">
      <c r="A75" s="16">
        <v>31</v>
      </c>
      <c r="B75" s="16">
        <v>1</v>
      </c>
      <c r="C75" s="16">
        <v>3</v>
      </c>
      <c r="D75" s="17">
        <v>15000</v>
      </c>
      <c r="E75" s="17">
        <f t="shared" si="1"/>
        <v>45000</v>
      </c>
      <c r="F75" s="16" t="str">
        <f>INDEX(Products!$B$2:$B$9,MATCH(B75,Products!$A$2:$A$9,0))</f>
        <v>Smartphone 6"</v>
      </c>
      <c r="G75" s="16" t="str">
        <f>INDEX(Products!$C$2:$C$9,MATCH(B75,Products!$A$2:$A$9,0))</f>
        <v>Electronics</v>
      </c>
      <c r="H75" s="16">
        <f>INDEX(Orders!$F$2:$F$201,MATCH(A75,Orders!$A$2:$A$201,0))</f>
        <v>202308</v>
      </c>
      <c r="I75" s="16" t="str">
        <f>INDEX(Orders!$E$2:$E$201,MATCH(A75,Orders!$A$2:$A$201,0))</f>
        <v>Pune</v>
      </c>
    </row>
    <row r="76" spans="1:9" x14ac:dyDescent="0.3">
      <c r="A76" s="16">
        <v>32</v>
      </c>
      <c r="B76" s="16">
        <v>7</v>
      </c>
      <c r="C76" s="16">
        <v>1</v>
      </c>
      <c r="D76" s="17">
        <v>40000</v>
      </c>
      <c r="E76" s="17">
        <f t="shared" si="1"/>
        <v>40000</v>
      </c>
      <c r="F76" s="16" t="str">
        <f>INDEX(Products!$B$2:$B$9,MATCH(B76,Products!$A$2:$A$9,0))</f>
        <v>Digital SLR Camera</v>
      </c>
      <c r="G76" s="16" t="str">
        <f>INDEX(Products!$C$2:$C$9,MATCH(B76,Products!$A$2:$A$9,0))</f>
        <v>Photography</v>
      </c>
      <c r="H76" s="16">
        <f>INDEX(Orders!$F$2:$F$201,MATCH(A76,Orders!$A$2:$A$201,0))</f>
        <v>202307</v>
      </c>
      <c r="I76" s="16" t="str">
        <f>INDEX(Orders!$E$2:$E$201,MATCH(A76,Orders!$A$2:$A$201,0))</f>
        <v>Ahmedabad</v>
      </c>
    </row>
    <row r="77" spans="1:9" x14ac:dyDescent="0.3">
      <c r="A77" s="16">
        <v>32</v>
      </c>
      <c r="B77" s="16">
        <v>1</v>
      </c>
      <c r="C77" s="16">
        <v>1</v>
      </c>
      <c r="D77" s="17">
        <v>15000</v>
      </c>
      <c r="E77" s="17">
        <f t="shared" si="1"/>
        <v>15000</v>
      </c>
      <c r="F77" s="16" t="str">
        <f>INDEX(Products!$B$2:$B$9,MATCH(B77,Products!$A$2:$A$9,0))</f>
        <v>Smartphone 6"</v>
      </c>
      <c r="G77" s="16" t="str">
        <f>INDEX(Products!$C$2:$C$9,MATCH(B77,Products!$A$2:$A$9,0))</f>
        <v>Electronics</v>
      </c>
      <c r="H77" s="16">
        <f>INDEX(Orders!$F$2:$F$201,MATCH(A77,Orders!$A$2:$A$201,0))</f>
        <v>202307</v>
      </c>
      <c r="I77" s="16" t="str">
        <f>INDEX(Orders!$E$2:$E$201,MATCH(A77,Orders!$A$2:$A$201,0))</f>
        <v>Ahmedabad</v>
      </c>
    </row>
    <row r="78" spans="1:9" x14ac:dyDescent="0.3">
      <c r="A78" s="16">
        <v>32</v>
      </c>
      <c r="B78" s="16">
        <v>7</v>
      </c>
      <c r="C78" s="16">
        <v>2</v>
      </c>
      <c r="D78" s="17">
        <v>40000</v>
      </c>
      <c r="E78" s="17">
        <f t="shared" si="1"/>
        <v>80000</v>
      </c>
      <c r="F78" s="16" t="str">
        <f>INDEX(Products!$B$2:$B$9,MATCH(B78,Products!$A$2:$A$9,0))</f>
        <v>Digital SLR Camera</v>
      </c>
      <c r="G78" s="16" t="str">
        <f>INDEX(Products!$C$2:$C$9,MATCH(B78,Products!$A$2:$A$9,0))</f>
        <v>Photography</v>
      </c>
      <c r="H78" s="16">
        <f>INDEX(Orders!$F$2:$F$201,MATCH(A78,Orders!$A$2:$A$201,0))</f>
        <v>202307</v>
      </c>
      <c r="I78" s="16" t="str">
        <f>INDEX(Orders!$E$2:$E$201,MATCH(A78,Orders!$A$2:$A$201,0))</f>
        <v>Ahmedabad</v>
      </c>
    </row>
    <row r="79" spans="1:9" x14ac:dyDescent="0.3">
      <c r="A79" s="16">
        <v>33</v>
      </c>
      <c r="B79" s="16">
        <v>4</v>
      </c>
      <c r="C79" s="16">
        <v>1</v>
      </c>
      <c r="D79" s="17">
        <v>12000</v>
      </c>
      <c r="E79" s="17">
        <f t="shared" si="1"/>
        <v>12000</v>
      </c>
      <c r="F79" s="16" t="str">
        <f>INDEX(Products!$B$2:$B$9,MATCH(B79,Products!$A$2:$A$9,0))</f>
        <v>E-Book Reader</v>
      </c>
      <c r="G79" s="16" t="str">
        <f>INDEX(Products!$C$2:$C$9,MATCH(B79,Products!$A$2:$A$9,0))</f>
        <v>Electronics</v>
      </c>
      <c r="H79" s="16">
        <f>INDEX(Orders!$F$2:$F$201,MATCH(A79,Orders!$A$2:$A$201,0))</f>
        <v>202311</v>
      </c>
      <c r="I79" s="16" t="str">
        <f>INDEX(Orders!$E$2:$E$201,MATCH(A79,Orders!$A$2:$A$201,0))</f>
        <v>Chennai</v>
      </c>
    </row>
    <row r="80" spans="1:9" x14ac:dyDescent="0.3">
      <c r="A80" s="16">
        <v>34</v>
      </c>
      <c r="B80" s="16">
        <v>7</v>
      </c>
      <c r="C80" s="16">
        <v>1</v>
      </c>
      <c r="D80" s="17">
        <v>40000</v>
      </c>
      <c r="E80" s="17">
        <f t="shared" si="1"/>
        <v>40000</v>
      </c>
      <c r="F80" s="16" t="str">
        <f>INDEX(Products!$B$2:$B$9,MATCH(B80,Products!$A$2:$A$9,0))</f>
        <v>Digital SLR Camera</v>
      </c>
      <c r="G80" s="16" t="str">
        <f>INDEX(Products!$C$2:$C$9,MATCH(B80,Products!$A$2:$A$9,0))</f>
        <v>Photography</v>
      </c>
      <c r="H80" s="16">
        <f>INDEX(Orders!$F$2:$F$201,MATCH(A80,Orders!$A$2:$A$201,0))</f>
        <v>202310</v>
      </c>
      <c r="I80" s="16" t="str">
        <f>INDEX(Orders!$E$2:$E$201,MATCH(A80,Orders!$A$2:$A$201,0))</f>
        <v>Kolkata</v>
      </c>
    </row>
    <row r="81" spans="1:9" x14ac:dyDescent="0.3">
      <c r="A81" s="16">
        <v>35</v>
      </c>
      <c r="B81" s="16">
        <v>5</v>
      </c>
      <c r="C81" s="16">
        <v>1</v>
      </c>
      <c r="D81" s="17">
        <v>5000</v>
      </c>
      <c r="E81" s="17">
        <f t="shared" si="1"/>
        <v>5000</v>
      </c>
      <c r="F81" s="16" t="str">
        <f>INDEX(Products!$B$2:$B$9,MATCH(B81,Products!$A$2:$A$9,0))</f>
        <v>Smartwatch Fitness Tracker</v>
      </c>
      <c r="G81" s="16" t="str">
        <f>INDEX(Products!$C$2:$C$9,MATCH(B81,Products!$A$2:$A$9,0))</f>
        <v>Wearable Tech</v>
      </c>
      <c r="H81" s="16">
        <f>INDEX(Orders!$F$2:$F$201,MATCH(A81,Orders!$A$2:$A$201,0))</f>
        <v>202307</v>
      </c>
      <c r="I81" s="16" t="str">
        <f>INDEX(Orders!$E$2:$E$201,MATCH(A81,Orders!$A$2:$A$201,0))</f>
        <v>Lucknow</v>
      </c>
    </row>
    <row r="82" spans="1:9" x14ac:dyDescent="0.3">
      <c r="A82" s="16">
        <v>36</v>
      </c>
      <c r="B82" s="16">
        <v>3</v>
      </c>
      <c r="C82" s="16">
        <v>1</v>
      </c>
      <c r="D82" s="17">
        <v>8000</v>
      </c>
      <c r="E82" s="17">
        <f t="shared" si="1"/>
        <v>8000</v>
      </c>
      <c r="F82" s="16" t="str">
        <f>INDEX(Products!$B$2:$B$9,MATCH(B82,Products!$A$2:$A$9,0))</f>
        <v>Bluetooth Headphones</v>
      </c>
      <c r="G82" s="16" t="str">
        <f>INDEX(Products!$C$2:$C$9,MATCH(B82,Products!$A$2:$A$9,0))</f>
        <v>Electronics</v>
      </c>
      <c r="H82" s="16">
        <f>INDEX(Orders!$F$2:$F$201,MATCH(A82,Orders!$A$2:$A$201,0))</f>
        <v>202307</v>
      </c>
      <c r="I82" s="16" t="str">
        <f>INDEX(Orders!$E$2:$E$201,MATCH(A82,Orders!$A$2:$A$201,0))</f>
        <v>Jaipur</v>
      </c>
    </row>
    <row r="83" spans="1:9" x14ac:dyDescent="0.3">
      <c r="A83" s="16">
        <v>36</v>
      </c>
      <c r="B83" s="16">
        <v>6</v>
      </c>
      <c r="C83" s="16">
        <v>1</v>
      </c>
      <c r="D83" s="17">
        <v>7000</v>
      </c>
      <c r="E83" s="17">
        <f t="shared" si="1"/>
        <v>7000</v>
      </c>
      <c r="F83" s="16" t="str">
        <f>INDEX(Products!$B$2:$B$9,MATCH(B83,Products!$A$2:$A$9,0))</f>
        <v>Portable Bluetooth Speaker</v>
      </c>
      <c r="G83" s="16" t="str">
        <f>INDEX(Products!$C$2:$C$9,MATCH(B83,Products!$A$2:$A$9,0))</f>
        <v>Electronics</v>
      </c>
      <c r="H83" s="16">
        <f>INDEX(Orders!$F$2:$F$201,MATCH(A83,Orders!$A$2:$A$201,0))</f>
        <v>202307</v>
      </c>
      <c r="I83" s="16" t="str">
        <f>INDEX(Orders!$E$2:$E$201,MATCH(A83,Orders!$A$2:$A$201,0))</f>
        <v>Jaipur</v>
      </c>
    </row>
    <row r="84" spans="1:9" x14ac:dyDescent="0.3">
      <c r="A84" s="16">
        <v>37</v>
      </c>
      <c r="B84" s="16">
        <v>7</v>
      </c>
      <c r="C84" s="16">
        <v>2</v>
      </c>
      <c r="D84" s="17">
        <v>40000</v>
      </c>
      <c r="E84" s="17">
        <f t="shared" si="1"/>
        <v>80000</v>
      </c>
      <c r="F84" s="16" t="str">
        <f>INDEX(Products!$B$2:$B$9,MATCH(B84,Products!$A$2:$A$9,0))</f>
        <v>Digital SLR Camera</v>
      </c>
      <c r="G84" s="16" t="str">
        <f>INDEX(Products!$C$2:$C$9,MATCH(B84,Products!$A$2:$A$9,0))</f>
        <v>Photography</v>
      </c>
      <c r="H84" s="16">
        <f>INDEX(Orders!$F$2:$F$201,MATCH(A84,Orders!$A$2:$A$201,0))</f>
        <v>202312</v>
      </c>
      <c r="I84" s="16" t="str">
        <f>INDEX(Orders!$E$2:$E$201,MATCH(A84,Orders!$A$2:$A$201,0))</f>
        <v>Pune</v>
      </c>
    </row>
    <row r="85" spans="1:9" x14ac:dyDescent="0.3">
      <c r="A85" s="16">
        <v>37</v>
      </c>
      <c r="B85" s="16">
        <v>2</v>
      </c>
      <c r="C85" s="16">
        <v>3</v>
      </c>
      <c r="D85" s="17">
        <v>60000</v>
      </c>
      <c r="E85" s="17">
        <f t="shared" si="1"/>
        <v>180000</v>
      </c>
      <c r="F85" s="16" t="str">
        <f>INDEX(Products!$B$2:$B$9,MATCH(B85,Products!$A$2:$A$9,0))</f>
        <v>Laptop 15" Pro</v>
      </c>
      <c r="G85" s="16" t="str">
        <f>INDEX(Products!$C$2:$C$9,MATCH(B85,Products!$A$2:$A$9,0))</f>
        <v>Electronics</v>
      </c>
      <c r="H85" s="16">
        <f>INDEX(Orders!$F$2:$F$201,MATCH(A85,Orders!$A$2:$A$201,0))</f>
        <v>202312</v>
      </c>
      <c r="I85" s="16" t="str">
        <f>INDEX(Orders!$E$2:$E$201,MATCH(A85,Orders!$A$2:$A$201,0))</f>
        <v>Pune</v>
      </c>
    </row>
    <row r="86" spans="1:9" x14ac:dyDescent="0.3">
      <c r="A86" s="16">
        <v>38</v>
      </c>
      <c r="B86" s="16">
        <v>2</v>
      </c>
      <c r="C86" s="16">
        <v>3</v>
      </c>
      <c r="D86" s="17">
        <v>60000</v>
      </c>
      <c r="E86" s="17">
        <f t="shared" si="1"/>
        <v>180000</v>
      </c>
      <c r="F86" s="16" t="str">
        <f>INDEX(Products!$B$2:$B$9,MATCH(B86,Products!$A$2:$A$9,0))</f>
        <v>Laptop 15" Pro</v>
      </c>
      <c r="G86" s="16" t="str">
        <f>INDEX(Products!$C$2:$C$9,MATCH(B86,Products!$A$2:$A$9,0))</f>
        <v>Electronics</v>
      </c>
      <c r="H86" s="16">
        <f>INDEX(Orders!$F$2:$F$201,MATCH(A86,Orders!$A$2:$A$201,0))</f>
        <v>202308</v>
      </c>
      <c r="I86" s="16" t="str">
        <f>INDEX(Orders!$E$2:$E$201,MATCH(A86,Orders!$A$2:$A$201,0))</f>
        <v>Bangalore</v>
      </c>
    </row>
    <row r="87" spans="1:9" x14ac:dyDescent="0.3">
      <c r="A87" s="16">
        <v>38</v>
      </c>
      <c r="B87" s="16">
        <v>4</v>
      </c>
      <c r="C87" s="16">
        <v>2</v>
      </c>
      <c r="D87" s="17">
        <v>12000</v>
      </c>
      <c r="E87" s="17">
        <f t="shared" si="1"/>
        <v>24000</v>
      </c>
      <c r="F87" s="16" t="str">
        <f>INDEX(Products!$B$2:$B$9,MATCH(B87,Products!$A$2:$A$9,0))</f>
        <v>E-Book Reader</v>
      </c>
      <c r="G87" s="16" t="str">
        <f>INDEX(Products!$C$2:$C$9,MATCH(B87,Products!$A$2:$A$9,0))</f>
        <v>Electronics</v>
      </c>
      <c r="H87" s="16">
        <f>INDEX(Orders!$F$2:$F$201,MATCH(A87,Orders!$A$2:$A$201,0))</f>
        <v>202308</v>
      </c>
      <c r="I87" s="16" t="str">
        <f>INDEX(Orders!$E$2:$E$201,MATCH(A87,Orders!$A$2:$A$201,0))</f>
        <v>Bangalore</v>
      </c>
    </row>
    <row r="88" spans="1:9" x14ac:dyDescent="0.3">
      <c r="A88" s="16">
        <v>38</v>
      </c>
      <c r="B88" s="16">
        <v>2</v>
      </c>
      <c r="C88" s="16">
        <v>2</v>
      </c>
      <c r="D88" s="17">
        <v>60000</v>
      </c>
      <c r="E88" s="17">
        <f t="shared" si="1"/>
        <v>120000</v>
      </c>
      <c r="F88" s="16" t="str">
        <f>INDEX(Products!$B$2:$B$9,MATCH(B88,Products!$A$2:$A$9,0))</f>
        <v>Laptop 15" Pro</v>
      </c>
      <c r="G88" s="16" t="str">
        <f>INDEX(Products!$C$2:$C$9,MATCH(B88,Products!$A$2:$A$9,0))</f>
        <v>Electronics</v>
      </c>
      <c r="H88" s="16">
        <f>INDEX(Orders!$F$2:$F$201,MATCH(A88,Orders!$A$2:$A$201,0))</f>
        <v>202308</v>
      </c>
      <c r="I88" s="16" t="str">
        <f>INDEX(Orders!$E$2:$E$201,MATCH(A88,Orders!$A$2:$A$201,0))</f>
        <v>Bangalore</v>
      </c>
    </row>
    <row r="89" spans="1:9" x14ac:dyDescent="0.3">
      <c r="A89" s="16">
        <v>39</v>
      </c>
      <c r="B89" s="16">
        <v>5</v>
      </c>
      <c r="C89" s="16">
        <v>2</v>
      </c>
      <c r="D89" s="17">
        <v>5000</v>
      </c>
      <c r="E89" s="17">
        <f t="shared" si="1"/>
        <v>10000</v>
      </c>
      <c r="F89" s="16" t="str">
        <f>INDEX(Products!$B$2:$B$9,MATCH(B89,Products!$A$2:$A$9,0))</f>
        <v>Smartwatch Fitness Tracker</v>
      </c>
      <c r="G89" s="16" t="str">
        <f>INDEX(Products!$C$2:$C$9,MATCH(B89,Products!$A$2:$A$9,0))</f>
        <v>Wearable Tech</v>
      </c>
      <c r="H89" s="16">
        <f>INDEX(Orders!$F$2:$F$201,MATCH(A89,Orders!$A$2:$A$201,0))</f>
        <v>202307</v>
      </c>
      <c r="I89" s="16" t="str">
        <f>INDEX(Orders!$E$2:$E$201,MATCH(A89,Orders!$A$2:$A$201,0))</f>
        <v>Jaipur</v>
      </c>
    </row>
    <row r="90" spans="1:9" x14ac:dyDescent="0.3">
      <c r="A90" s="16">
        <v>39</v>
      </c>
      <c r="B90" s="16">
        <v>7</v>
      </c>
      <c r="C90" s="16">
        <v>1</v>
      </c>
      <c r="D90" s="17">
        <v>40000</v>
      </c>
      <c r="E90" s="17">
        <f t="shared" si="1"/>
        <v>40000</v>
      </c>
      <c r="F90" s="16" t="str">
        <f>INDEX(Products!$B$2:$B$9,MATCH(B90,Products!$A$2:$A$9,0))</f>
        <v>Digital SLR Camera</v>
      </c>
      <c r="G90" s="16" t="str">
        <f>INDEX(Products!$C$2:$C$9,MATCH(B90,Products!$A$2:$A$9,0))</f>
        <v>Photography</v>
      </c>
      <c r="H90" s="16">
        <f>INDEX(Orders!$F$2:$F$201,MATCH(A90,Orders!$A$2:$A$201,0))</f>
        <v>202307</v>
      </c>
      <c r="I90" s="16" t="str">
        <f>INDEX(Orders!$E$2:$E$201,MATCH(A90,Orders!$A$2:$A$201,0))</f>
        <v>Jaipur</v>
      </c>
    </row>
    <row r="91" spans="1:9" x14ac:dyDescent="0.3">
      <c r="A91" s="16">
        <v>40</v>
      </c>
      <c r="B91" s="16">
        <v>7</v>
      </c>
      <c r="C91" s="16">
        <v>1</v>
      </c>
      <c r="D91" s="17">
        <v>40000</v>
      </c>
      <c r="E91" s="17">
        <f t="shared" si="1"/>
        <v>40000</v>
      </c>
      <c r="F91" s="16" t="str">
        <f>INDEX(Products!$B$2:$B$9,MATCH(B91,Products!$A$2:$A$9,0))</f>
        <v>Digital SLR Camera</v>
      </c>
      <c r="G91" s="16" t="str">
        <f>INDEX(Products!$C$2:$C$9,MATCH(B91,Products!$A$2:$A$9,0))</f>
        <v>Photography</v>
      </c>
      <c r="H91" s="16">
        <f>INDEX(Orders!$F$2:$F$201,MATCH(A91,Orders!$A$2:$A$201,0))</f>
        <v>202311</v>
      </c>
      <c r="I91" s="16" t="str">
        <f>INDEX(Orders!$E$2:$E$201,MATCH(A91,Orders!$A$2:$A$201,0))</f>
        <v>Mumbai</v>
      </c>
    </row>
    <row r="92" spans="1:9" x14ac:dyDescent="0.3">
      <c r="A92" s="16">
        <v>40</v>
      </c>
      <c r="B92" s="16">
        <v>3</v>
      </c>
      <c r="C92" s="16">
        <v>1</v>
      </c>
      <c r="D92" s="17">
        <v>8000</v>
      </c>
      <c r="E92" s="17">
        <f t="shared" si="1"/>
        <v>8000</v>
      </c>
      <c r="F92" s="16" t="str">
        <f>INDEX(Products!$B$2:$B$9,MATCH(B92,Products!$A$2:$A$9,0))</f>
        <v>Bluetooth Headphones</v>
      </c>
      <c r="G92" s="16" t="str">
        <f>INDEX(Products!$C$2:$C$9,MATCH(B92,Products!$A$2:$A$9,0))</f>
        <v>Electronics</v>
      </c>
      <c r="H92" s="16">
        <f>INDEX(Orders!$F$2:$F$201,MATCH(A92,Orders!$A$2:$A$201,0))</f>
        <v>202311</v>
      </c>
      <c r="I92" s="16" t="str">
        <f>INDEX(Orders!$E$2:$E$201,MATCH(A92,Orders!$A$2:$A$201,0))</f>
        <v>Mumbai</v>
      </c>
    </row>
    <row r="93" spans="1:9" x14ac:dyDescent="0.3">
      <c r="A93" s="16">
        <v>41</v>
      </c>
      <c r="B93" s="16">
        <v>4</v>
      </c>
      <c r="C93" s="16">
        <v>2</v>
      </c>
      <c r="D93" s="17">
        <v>12000</v>
      </c>
      <c r="E93" s="17">
        <f t="shared" si="1"/>
        <v>24000</v>
      </c>
      <c r="F93" s="16" t="str">
        <f>INDEX(Products!$B$2:$B$9,MATCH(B93,Products!$A$2:$A$9,0))</f>
        <v>E-Book Reader</v>
      </c>
      <c r="G93" s="16" t="str">
        <f>INDEX(Products!$C$2:$C$9,MATCH(B93,Products!$A$2:$A$9,0))</f>
        <v>Electronics</v>
      </c>
      <c r="H93" s="16">
        <f>INDEX(Orders!$F$2:$F$201,MATCH(A93,Orders!$A$2:$A$201,0))</f>
        <v>202303</v>
      </c>
      <c r="I93" s="16" t="str">
        <f>INDEX(Orders!$E$2:$E$201,MATCH(A93,Orders!$A$2:$A$201,0))</f>
        <v>Jaipur</v>
      </c>
    </row>
    <row r="94" spans="1:9" x14ac:dyDescent="0.3">
      <c r="A94" s="16">
        <v>41</v>
      </c>
      <c r="B94" s="16">
        <v>1</v>
      </c>
      <c r="C94" s="16">
        <v>1</v>
      </c>
      <c r="D94" s="17">
        <v>15000</v>
      </c>
      <c r="E94" s="17">
        <f t="shared" si="1"/>
        <v>15000</v>
      </c>
      <c r="F94" s="16" t="str">
        <f>INDEX(Products!$B$2:$B$9,MATCH(B94,Products!$A$2:$A$9,0))</f>
        <v>Smartphone 6"</v>
      </c>
      <c r="G94" s="16" t="str">
        <f>INDEX(Products!$C$2:$C$9,MATCH(B94,Products!$A$2:$A$9,0))</f>
        <v>Electronics</v>
      </c>
      <c r="H94" s="16">
        <f>INDEX(Orders!$F$2:$F$201,MATCH(A94,Orders!$A$2:$A$201,0))</f>
        <v>202303</v>
      </c>
      <c r="I94" s="16" t="str">
        <f>INDEX(Orders!$E$2:$E$201,MATCH(A94,Orders!$A$2:$A$201,0))</f>
        <v>Jaipur</v>
      </c>
    </row>
    <row r="95" spans="1:9" x14ac:dyDescent="0.3">
      <c r="A95" s="16">
        <v>42</v>
      </c>
      <c r="B95" s="16">
        <v>1</v>
      </c>
      <c r="C95" s="16">
        <v>1</v>
      </c>
      <c r="D95" s="17">
        <v>15000</v>
      </c>
      <c r="E95" s="17">
        <f t="shared" si="1"/>
        <v>15000</v>
      </c>
      <c r="F95" s="16" t="str">
        <f>INDEX(Products!$B$2:$B$9,MATCH(B95,Products!$A$2:$A$9,0))</f>
        <v>Smartphone 6"</v>
      </c>
      <c r="G95" s="16" t="str">
        <f>INDEX(Products!$C$2:$C$9,MATCH(B95,Products!$A$2:$A$9,0))</f>
        <v>Electronics</v>
      </c>
      <c r="H95" s="16">
        <f>INDEX(Orders!$F$2:$F$201,MATCH(A95,Orders!$A$2:$A$201,0))</f>
        <v>202402</v>
      </c>
      <c r="I95" s="16" t="str">
        <f>INDEX(Orders!$E$2:$E$201,MATCH(A95,Orders!$A$2:$A$201,0))</f>
        <v>Chennai</v>
      </c>
    </row>
    <row r="96" spans="1:9" x14ac:dyDescent="0.3">
      <c r="A96" s="16">
        <v>42</v>
      </c>
      <c r="B96" s="16">
        <v>8</v>
      </c>
      <c r="C96" s="16">
        <v>1</v>
      </c>
      <c r="D96" s="17">
        <v>3000</v>
      </c>
      <c r="E96" s="17">
        <f t="shared" si="1"/>
        <v>3000</v>
      </c>
      <c r="F96" s="16" t="str">
        <f>INDEX(Products!$B$2:$B$9,MATCH(B96,Products!$A$2:$A$9,0))</f>
        <v>Wireless Earbuds</v>
      </c>
      <c r="G96" s="16" t="str">
        <f>INDEX(Products!$C$2:$C$9,MATCH(B96,Products!$A$2:$A$9,0))</f>
        <v>Wearable Tech</v>
      </c>
      <c r="H96" s="16">
        <f>INDEX(Orders!$F$2:$F$201,MATCH(A96,Orders!$A$2:$A$201,0))</f>
        <v>202402</v>
      </c>
      <c r="I96" s="16" t="str">
        <f>INDEX(Orders!$E$2:$E$201,MATCH(A96,Orders!$A$2:$A$201,0))</f>
        <v>Chennai</v>
      </c>
    </row>
    <row r="97" spans="1:9" x14ac:dyDescent="0.3">
      <c r="A97" s="16">
        <v>42</v>
      </c>
      <c r="B97" s="16">
        <v>1</v>
      </c>
      <c r="C97" s="16">
        <v>1</v>
      </c>
      <c r="D97" s="17">
        <v>15000</v>
      </c>
      <c r="E97" s="17">
        <f t="shared" si="1"/>
        <v>15000</v>
      </c>
      <c r="F97" s="16" t="str">
        <f>INDEX(Products!$B$2:$B$9,MATCH(B97,Products!$A$2:$A$9,0))</f>
        <v>Smartphone 6"</v>
      </c>
      <c r="G97" s="16" t="str">
        <f>INDEX(Products!$C$2:$C$9,MATCH(B97,Products!$A$2:$A$9,0))</f>
        <v>Electronics</v>
      </c>
      <c r="H97" s="16">
        <f>INDEX(Orders!$F$2:$F$201,MATCH(A97,Orders!$A$2:$A$201,0))</f>
        <v>202402</v>
      </c>
      <c r="I97" s="16" t="str">
        <f>INDEX(Orders!$E$2:$E$201,MATCH(A97,Orders!$A$2:$A$201,0))</f>
        <v>Chennai</v>
      </c>
    </row>
    <row r="98" spans="1:9" x14ac:dyDescent="0.3">
      <c r="A98" s="16">
        <v>43</v>
      </c>
      <c r="B98" s="16">
        <v>1</v>
      </c>
      <c r="C98" s="16">
        <v>1</v>
      </c>
      <c r="D98" s="17">
        <v>15000</v>
      </c>
      <c r="E98" s="17">
        <f t="shared" si="1"/>
        <v>15000</v>
      </c>
      <c r="F98" s="16" t="str">
        <f>INDEX(Products!$B$2:$B$9,MATCH(B98,Products!$A$2:$A$9,0))</f>
        <v>Smartphone 6"</v>
      </c>
      <c r="G98" s="16" t="str">
        <f>INDEX(Products!$C$2:$C$9,MATCH(B98,Products!$A$2:$A$9,0))</f>
        <v>Electronics</v>
      </c>
      <c r="H98" s="16">
        <f>INDEX(Orders!$F$2:$F$201,MATCH(A98,Orders!$A$2:$A$201,0))</f>
        <v>202401</v>
      </c>
      <c r="I98" s="16" t="str">
        <f>INDEX(Orders!$E$2:$E$201,MATCH(A98,Orders!$A$2:$A$201,0))</f>
        <v>Lucknow</v>
      </c>
    </row>
    <row r="99" spans="1:9" x14ac:dyDescent="0.3">
      <c r="A99" s="16">
        <v>43</v>
      </c>
      <c r="B99" s="16">
        <v>4</v>
      </c>
      <c r="C99" s="16">
        <v>3</v>
      </c>
      <c r="D99" s="17">
        <v>12000</v>
      </c>
      <c r="E99" s="17">
        <f t="shared" si="1"/>
        <v>36000</v>
      </c>
      <c r="F99" s="16" t="str">
        <f>INDEX(Products!$B$2:$B$9,MATCH(B99,Products!$A$2:$A$9,0))</f>
        <v>E-Book Reader</v>
      </c>
      <c r="G99" s="16" t="str">
        <f>INDEX(Products!$C$2:$C$9,MATCH(B99,Products!$A$2:$A$9,0))</f>
        <v>Electronics</v>
      </c>
      <c r="H99" s="16">
        <f>INDEX(Orders!$F$2:$F$201,MATCH(A99,Orders!$A$2:$A$201,0))</f>
        <v>202401</v>
      </c>
      <c r="I99" s="16" t="str">
        <f>INDEX(Orders!$E$2:$E$201,MATCH(A99,Orders!$A$2:$A$201,0))</f>
        <v>Lucknow</v>
      </c>
    </row>
    <row r="100" spans="1:9" x14ac:dyDescent="0.3">
      <c r="A100" s="16">
        <v>44</v>
      </c>
      <c r="B100" s="16">
        <v>3</v>
      </c>
      <c r="C100" s="16">
        <v>3</v>
      </c>
      <c r="D100" s="17">
        <v>8000</v>
      </c>
      <c r="E100" s="17">
        <f t="shared" si="1"/>
        <v>24000</v>
      </c>
      <c r="F100" s="16" t="str">
        <f>INDEX(Products!$B$2:$B$9,MATCH(B100,Products!$A$2:$A$9,0))</f>
        <v>Bluetooth Headphones</v>
      </c>
      <c r="G100" s="16" t="str">
        <f>INDEX(Products!$C$2:$C$9,MATCH(B100,Products!$A$2:$A$9,0))</f>
        <v>Electronics</v>
      </c>
      <c r="H100" s="16">
        <f>INDEX(Orders!$F$2:$F$201,MATCH(A100,Orders!$A$2:$A$201,0))</f>
        <v>202304</v>
      </c>
      <c r="I100" s="16" t="str">
        <f>INDEX(Orders!$E$2:$E$201,MATCH(A100,Orders!$A$2:$A$201,0))</f>
        <v>Chennai</v>
      </c>
    </row>
    <row r="101" spans="1:9" x14ac:dyDescent="0.3">
      <c r="A101" s="16">
        <v>44</v>
      </c>
      <c r="B101" s="16">
        <v>4</v>
      </c>
      <c r="C101" s="16">
        <v>2</v>
      </c>
      <c r="D101" s="17">
        <v>12000</v>
      </c>
      <c r="E101" s="17">
        <f t="shared" si="1"/>
        <v>24000</v>
      </c>
      <c r="F101" s="16" t="str">
        <f>INDEX(Products!$B$2:$B$9,MATCH(B101,Products!$A$2:$A$9,0))</f>
        <v>E-Book Reader</v>
      </c>
      <c r="G101" s="16" t="str">
        <f>INDEX(Products!$C$2:$C$9,MATCH(B101,Products!$A$2:$A$9,0))</f>
        <v>Electronics</v>
      </c>
      <c r="H101" s="16">
        <f>INDEX(Orders!$F$2:$F$201,MATCH(A101,Orders!$A$2:$A$201,0))</f>
        <v>202304</v>
      </c>
      <c r="I101" s="16" t="str">
        <f>INDEX(Orders!$E$2:$E$201,MATCH(A101,Orders!$A$2:$A$201,0))</f>
        <v>Chennai</v>
      </c>
    </row>
    <row r="102" spans="1:9" x14ac:dyDescent="0.3">
      <c r="A102" s="16">
        <v>44</v>
      </c>
      <c r="B102" s="16">
        <v>1</v>
      </c>
      <c r="C102" s="16">
        <v>3</v>
      </c>
      <c r="D102" s="17">
        <v>15000</v>
      </c>
      <c r="E102" s="17">
        <f t="shared" si="1"/>
        <v>45000</v>
      </c>
      <c r="F102" s="16" t="str">
        <f>INDEX(Products!$B$2:$B$9,MATCH(B102,Products!$A$2:$A$9,0))</f>
        <v>Smartphone 6"</v>
      </c>
      <c r="G102" s="16" t="str">
        <f>INDEX(Products!$C$2:$C$9,MATCH(B102,Products!$A$2:$A$9,0))</f>
        <v>Electronics</v>
      </c>
      <c r="H102" s="16">
        <f>INDEX(Orders!$F$2:$F$201,MATCH(A102,Orders!$A$2:$A$201,0))</f>
        <v>202304</v>
      </c>
      <c r="I102" s="16" t="str">
        <f>INDEX(Orders!$E$2:$E$201,MATCH(A102,Orders!$A$2:$A$201,0))</f>
        <v>Chennai</v>
      </c>
    </row>
    <row r="103" spans="1:9" x14ac:dyDescent="0.3">
      <c r="A103" s="16">
        <v>44</v>
      </c>
      <c r="B103" s="16">
        <v>7</v>
      </c>
      <c r="C103" s="16">
        <v>3</v>
      </c>
      <c r="D103" s="17">
        <v>40000</v>
      </c>
      <c r="E103" s="17">
        <f t="shared" si="1"/>
        <v>120000</v>
      </c>
      <c r="F103" s="16" t="str">
        <f>INDEX(Products!$B$2:$B$9,MATCH(B103,Products!$A$2:$A$9,0))</f>
        <v>Digital SLR Camera</v>
      </c>
      <c r="G103" s="16" t="str">
        <f>INDEX(Products!$C$2:$C$9,MATCH(B103,Products!$A$2:$A$9,0))</f>
        <v>Photography</v>
      </c>
      <c r="H103" s="16">
        <f>INDEX(Orders!$F$2:$F$201,MATCH(A103,Orders!$A$2:$A$201,0))</f>
        <v>202304</v>
      </c>
      <c r="I103" s="16" t="str">
        <f>INDEX(Orders!$E$2:$E$201,MATCH(A103,Orders!$A$2:$A$201,0))</f>
        <v>Chennai</v>
      </c>
    </row>
    <row r="104" spans="1:9" x14ac:dyDescent="0.3">
      <c r="A104" s="16">
        <v>45</v>
      </c>
      <c r="B104" s="16">
        <v>1</v>
      </c>
      <c r="C104" s="16">
        <v>3</v>
      </c>
      <c r="D104" s="17">
        <v>15000</v>
      </c>
      <c r="E104" s="17">
        <f t="shared" si="1"/>
        <v>45000</v>
      </c>
      <c r="F104" s="16" t="str">
        <f>INDEX(Products!$B$2:$B$9,MATCH(B104,Products!$A$2:$A$9,0))</f>
        <v>Smartphone 6"</v>
      </c>
      <c r="G104" s="16" t="str">
        <f>INDEX(Products!$C$2:$C$9,MATCH(B104,Products!$A$2:$A$9,0))</f>
        <v>Electronics</v>
      </c>
      <c r="H104" s="16">
        <f>INDEX(Orders!$F$2:$F$201,MATCH(A104,Orders!$A$2:$A$201,0))</f>
        <v>202309</v>
      </c>
      <c r="I104" s="16" t="str">
        <f>INDEX(Orders!$E$2:$E$201,MATCH(A104,Orders!$A$2:$A$201,0))</f>
        <v>Ahmedabad</v>
      </c>
    </row>
    <row r="105" spans="1:9" x14ac:dyDescent="0.3">
      <c r="A105" s="16">
        <v>46</v>
      </c>
      <c r="B105" s="16">
        <v>1</v>
      </c>
      <c r="C105" s="16">
        <v>3</v>
      </c>
      <c r="D105" s="17">
        <v>15000</v>
      </c>
      <c r="E105" s="17">
        <f t="shared" si="1"/>
        <v>45000</v>
      </c>
      <c r="F105" s="16" t="str">
        <f>INDEX(Products!$B$2:$B$9,MATCH(B105,Products!$A$2:$A$9,0))</f>
        <v>Smartphone 6"</v>
      </c>
      <c r="G105" s="16" t="str">
        <f>INDEX(Products!$C$2:$C$9,MATCH(B105,Products!$A$2:$A$9,0))</f>
        <v>Electronics</v>
      </c>
      <c r="H105" s="16">
        <f>INDEX(Orders!$F$2:$F$201,MATCH(A105,Orders!$A$2:$A$201,0))</f>
        <v>202304</v>
      </c>
      <c r="I105" s="16" t="str">
        <f>INDEX(Orders!$E$2:$E$201,MATCH(A105,Orders!$A$2:$A$201,0))</f>
        <v>Chennai</v>
      </c>
    </row>
    <row r="106" spans="1:9" x14ac:dyDescent="0.3">
      <c r="A106" s="16">
        <v>46</v>
      </c>
      <c r="B106" s="16">
        <v>3</v>
      </c>
      <c r="C106" s="16">
        <v>3</v>
      </c>
      <c r="D106" s="17">
        <v>8000</v>
      </c>
      <c r="E106" s="17">
        <f t="shared" si="1"/>
        <v>24000</v>
      </c>
      <c r="F106" s="16" t="str">
        <f>INDEX(Products!$B$2:$B$9,MATCH(B106,Products!$A$2:$A$9,0))</f>
        <v>Bluetooth Headphones</v>
      </c>
      <c r="G106" s="16" t="str">
        <f>INDEX(Products!$C$2:$C$9,MATCH(B106,Products!$A$2:$A$9,0))</f>
        <v>Electronics</v>
      </c>
      <c r="H106" s="16">
        <f>INDEX(Orders!$F$2:$F$201,MATCH(A106,Orders!$A$2:$A$201,0))</f>
        <v>202304</v>
      </c>
      <c r="I106" s="16" t="str">
        <f>INDEX(Orders!$E$2:$E$201,MATCH(A106,Orders!$A$2:$A$201,0))</f>
        <v>Chennai</v>
      </c>
    </row>
    <row r="107" spans="1:9" x14ac:dyDescent="0.3">
      <c r="A107" s="16">
        <v>47</v>
      </c>
      <c r="B107" s="16">
        <v>6</v>
      </c>
      <c r="C107" s="16">
        <v>1</v>
      </c>
      <c r="D107" s="17">
        <v>7000</v>
      </c>
      <c r="E107" s="17">
        <f t="shared" si="1"/>
        <v>7000</v>
      </c>
      <c r="F107" s="16" t="str">
        <f>INDEX(Products!$B$2:$B$9,MATCH(B107,Products!$A$2:$A$9,0))</f>
        <v>Portable Bluetooth Speaker</v>
      </c>
      <c r="G107" s="16" t="str">
        <f>INDEX(Products!$C$2:$C$9,MATCH(B107,Products!$A$2:$A$9,0))</f>
        <v>Electronics</v>
      </c>
      <c r="H107" s="16">
        <f>INDEX(Orders!$F$2:$F$201,MATCH(A107,Orders!$A$2:$A$201,0))</f>
        <v>202311</v>
      </c>
      <c r="I107" s="16" t="str">
        <f>INDEX(Orders!$E$2:$E$201,MATCH(A107,Orders!$A$2:$A$201,0))</f>
        <v>Bangalore</v>
      </c>
    </row>
    <row r="108" spans="1:9" x14ac:dyDescent="0.3">
      <c r="A108" s="16">
        <v>48</v>
      </c>
      <c r="B108" s="16">
        <v>8</v>
      </c>
      <c r="C108" s="16">
        <v>2</v>
      </c>
      <c r="D108" s="17">
        <v>3000</v>
      </c>
      <c r="E108" s="17">
        <f t="shared" si="1"/>
        <v>6000</v>
      </c>
      <c r="F108" s="16" t="str">
        <f>INDEX(Products!$B$2:$B$9,MATCH(B108,Products!$A$2:$A$9,0))</f>
        <v>Wireless Earbuds</v>
      </c>
      <c r="G108" s="16" t="str">
        <f>INDEX(Products!$C$2:$C$9,MATCH(B108,Products!$A$2:$A$9,0))</f>
        <v>Wearable Tech</v>
      </c>
      <c r="H108" s="16">
        <f>INDEX(Orders!$F$2:$F$201,MATCH(A108,Orders!$A$2:$A$201,0))</f>
        <v>202307</v>
      </c>
      <c r="I108" s="16" t="str">
        <f>INDEX(Orders!$E$2:$E$201,MATCH(A108,Orders!$A$2:$A$201,0))</f>
        <v>Chennai</v>
      </c>
    </row>
    <row r="109" spans="1:9" x14ac:dyDescent="0.3">
      <c r="A109" s="16">
        <v>48</v>
      </c>
      <c r="B109" s="16">
        <v>5</v>
      </c>
      <c r="C109" s="16">
        <v>3</v>
      </c>
      <c r="D109" s="17">
        <v>5000</v>
      </c>
      <c r="E109" s="17">
        <f t="shared" si="1"/>
        <v>15000</v>
      </c>
      <c r="F109" s="16" t="str">
        <f>INDEX(Products!$B$2:$B$9,MATCH(B109,Products!$A$2:$A$9,0))</f>
        <v>Smartwatch Fitness Tracker</v>
      </c>
      <c r="G109" s="16" t="str">
        <f>INDEX(Products!$C$2:$C$9,MATCH(B109,Products!$A$2:$A$9,0))</f>
        <v>Wearable Tech</v>
      </c>
      <c r="H109" s="16">
        <f>INDEX(Orders!$F$2:$F$201,MATCH(A109,Orders!$A$2:$A$201,0))</f>
        <v>202307</v>
      </c>
      <c r="I109" s="16" t="str">
        <f>INDEX(Orders!$E$2:$E$201,MATCH(A109,Orders!$A$2:$A$201,0))</f>
        <v>Chennai</v>
      </c>
    </row>
    <row r="110" spans="1:9" x14ac:dyDescent="0.3">
      <c r="A110" s="16">
        <v>48</v>
      </c>
      <c r="B110" s="16">
        <v>7</v>
      </c>
      <c r="C110" s="16">
        <v>3</v>
      </c>
      <c r="D110" s="17">
        <v>40000</v>
      </c>
      <c r="E110" s="17">
        <f t="shared" si="1"/>
        <v>120000</v>
      </c>
      <c r="F110" s="16" t="str">
        <f>INDEX(Products!$B$2:$B$9,MATCH(B110,Products!$A$2:$A$9,0))</f>
        <v>Digital SLR Camera</v>
      </c>
      <c r="G110" s="16" t="str">
        <f>INDEX(Products!$C$2:$C$9,MATCH(B110,Products!$A$2:$A$9,0))</f>
        <v>Photography</v>
      </c>
      <c r="H110" s="16">
        <f>INDEX(Orders!$F$2:$F$201,MATCH(A110,Orders!$A$2:$A$201,0))</f>
        <v>202307</v>
      </c>
      <c r="I110" s="16" t="str">
        <f>INDEX(Orders!$E$2:$E$201,MATCH(A110,Orders!$A$2:$A$201,0))</f>
        <v>Chennai</v>
      </c>
    </row>
    <row r="111" spans="1:9" x14ac:dyDescent="0.3">
      <c r="A111" s="16">
        <v>48</v>
      </c>
      <c r="B111" s="16">
        <v>1</v>
      </c>
      <c r="C111" s="16">
        <v>3</v>
      </c>
      <c r="D111" s="17">
        <v>15000</v>
      </c>
      <c r="E111" s="17">
        <f t="shared" si="1"/>
        <v>45000</v>
      </c>
      <c r="F111" s="16" t="str">
        <f>INDEX(Products!$B$2:$B$9,MATCH(B111,Products!$A$2:$A$9,0))</f>
        <v>Smartphone 6"</v>
      </c>
      <c r="G111" s="16" t="str">
        <f>INDEX(Products!$C$2:$C$9,MATCH(B111,Products!$A$2:$A$9,0))</f>
        <v>Electronics</v>
      </c>
      <c r="H111" s="16">
        <f>INDEX(Orders!$F$2:$F$201,MATCH(A111,Orders!$A$2:$A$201,0))</f>
        <v>202307</v>
      </c>
      <c r="I111" s="16" t="str">
        <f>INDEX(Orders!$E$2:$E$201,MATCH(A111,Orders!$A$2:$A$201,0))</f>
        <v>Chennai</v>
      </c>
    </row>
    <row r="112" spans="1:9" x14ac:dyDescent="0.3">
      <c r="A112" s="16">
        <v>49</v>
      </c>
      <c r="B112" s="16">
        <v>3</v>
      </c>
      <c r="C112" s="16">
        <v>1</v>
      </c>
      <c r="D112" s="17">
        <v>8000</v>
      </c>
      <c r="E112" s="17">
        <f t="shared" si="1"/>
        <v>8000</v>
      </c>
      <c r="F112" s="16" t="str">
        <f>INDEX(Products!$B$2:$B$9,MATCH(B112,Products!$A$2:$A$9,0))</f>
        <v>Bluetooth Headphones</v>
      </c>
      <c r="G112" s="16" t="str">
        <f>INDEX(Products!$C$2:$C$9,MATCH(B112,Products!$A$2:$A$9,0))</f>
        <v>Electronics</v>
      </c>
      <c r="H112" s="16">
        <f>INDEX(Orders!$F$2:$F$201,MATCH(A112,Orders!$A$2:$A$201,0))</f>
        <v>202310</v>
      </c>
      <c r="I112" s="16" t="str">
        <f>INDEX(Orders!$E$2:$E$201,MATCH(A112,Orders!$A$2:$A$201,0))</f>
        <v>Hyderabad</v>
      </c>
    </row>
    <row r="113" spans="1:9" x14ac:dyDescent="0.3">
      <c r="A113" s="16">
        <v>49</v>
      </c>
      <c r="B113" s="16">
        <v>8</v>
      </c>
      <c r="C113" s="16">
        <v>2</v>
      </c>
      <c r="D113" s="17">
        <v>3000</v>
      </c>
      <c r="E113" s="17">
        <f t="shared" si="1"/>
        <v>6000</v>
      </c>
      <c r="F113" s="16" t="str">
        <f>INDEX(Products!$B$2:$B$9,MATCH(B113,Products!$A$2:$A$9,0))</f>
        <v>Wireless Earbuds</v>
      </c>
      <c r="G113" s="16" t="str">
        <f>INDEX(Products!$C$2:$C$9,MATCH(B113,Products!$A$2:$A$9,0))</f>
        <v>Wearable Tech</v>
      </c>
      <c r="H113" s="16">
        <f>INDEX(Orders!$F$2:$F$201,MATCH(A113,Orders!$A$2:$A$201,0))</f>
        <v>202310</v>
      </c>
      <c r="I113" s="16" t="str">
        <f>INDEX(Orders!$E$2:$E$201,MATCH(A113,Orders!$A$2:$A$201,0))</f>
        <v>Hyderabad</v>
      </c>
    </row>
    <row r="114" spans="1:9" x14ac:dyDescent="0.3">
      <c r="A114" s="16">
        <v>49</v>
      </c>
      <c r="B114" s="16">
        <v>7</v>
      </c>
      <c r="C114" s="16">
        <v>1</v>
      </c>
      <c r="D114" s="17">
        <v>40000</v>
      </c>
      <c r="E114" s="17">
        <f t="shared" si="1"/>
        <v>40000</v>
      </c>
      <c r="F114" s="16" t="str">
        <f>INDEX(Products!$B$2:$B$9,MATCH(B114,Products!$A$2:$A$9,0))</f>
        <v>Digital SLR Camera</v>
      </c>
      <c r="G114" s="16" t="str">
        <f>INDEX(Products!$C$2:$C$9,MATCH(B114,Products!$A$2:$A$9,0))</f>
        <v>Photography</v>
      </c>
      <c r="H114" s="16">
        <f>INDEX(Orders!$F$2:$F$201,MATCH(A114,Orders!$A$2:$A$201,0))</f>
        <v>202310</v>
      </c>
      <c r="I114" s="16" t="str">
        <f>INDEX(Orders!$E$2:$E$201,MATCH(A114,Orders!$A$2:$A$201,0))</f>
        <v>Hyderabad</v>
      </c>
    </row>
    <row r="115" spans="1:9" x14ac:dyDescent="0.3">
      <c r="A115" s="16">
        <v>50</v>
      </c>
      <c r="B115" s="16">
        <v>2</v>
      </c>
      <c r="C115" s="16">
        <v>1</v>
      </c>
      <c r="D115" s="17">
        <v>60000</v>
      </c>
      <c r="E115" s="17">
        <f t="shared" si="1"/>
        <v>60000</v>
      </c>
      <c r="F115" s="16" t="str">
        <f>INDEX(Products!$B$2:$B$9,MATCH(B115,Products!$A$2:$A$9,0))</f>
        <v>Laptop 15" Pro</v>
      </c>
      <c r="G115" s="16" t="str">
        <f>INDEX(Products!$C$2:$C$9,MATCH(B115,Products!$A$2:$A$9,0))</f>
        <v>Electronics</v>
      </c>
      <c r="H115" s="16">
        <f>INDEX(Orders!$F$2:$F$201,MATCH(A115,Orders!$A$2:$A$201,0))</f>
        <v>202312</v>
      </c>
      <c r="I115" s="16" t="str">
        <f>INDEX(Orders!$E$2:$E$201,MATCH(A115,Orders!$A$2:$A$201,0))</f>
        <v>Lucknow</v>
      </c>
    </row>
    <row r="116" spans="1:9" x14ac:dyDescent="0.3">
      <c r="A116" s="16">
        <v>50</v>
      </c>
      <c r="B116" s="16">
        <v>8</v>
      </c>
      <c r="C116" s="16">
        <v>1</v>
      </c>
      <c r="D116" s="17">
        <v>3000</v>
      </c>
      <c r="E116" s="17">
        <f t="shared" si="1"/>
        <v>3000</v>
      </c>
      <c r="F116" s="16" t="str">
        <f>INDEX(Products!$B$2:$B$9,MATCH(B116,Products!$A$2:$A$9,0))</f>
        <v>Wireless Earbuds</v>
      </c>
      <c r="G116" s="16" t="str">
        <f>INDEX(Products!$C$2:$C$9,MATCH(B116,Products!$A$2:$A$9,0))</f>
        <v>Wearable Tech</v>
      </c>
      <c r="H116" s="16">
        <f>INDEX(Orders!$F$2:$F$201,MATCH(A116,Orders!$A$2:$A$201,0))</f>
        <v>202312</v>
      </c>
      <c r="I116" s="16" t="str">
        <f>INDEX(Orders!$E$2:$E$201,MATCH(A116,Orders!$A$2:$A$201,0))</f>
        <v>Lucknow</v>
      </c>
    </row>
    <row r="117" spans="1:9" x14ac:dyDescent="0.3">
      <c r="A117" s="16">
        <v>51</v>
      </c>
      <c r="B117" s="16">
        <v>3</v>
      </c>
      <c r="C117" s="16">
        <v>2</v>
      </c>
      <c r="D117" s="17">
        <v>8000</v>
      </c>
      <c r="E117" s="17">
        <f t="shared" si="1"/>
        <v>16000</v>
      </c>
      <c r="F117" s="16" t="str">
        <f>INDEX(Products!$B$2:$B$9,MATCH(B117,Products!$A$2:$A$9,0))</f>
        <v>Bluetooth Headphones</v>
      </c>
      <c r="G117" s="16" t="str">
        <f>INDEX(Products!$C$2:$C$9,MATCH(B117,Products!$A$2:$A$9,0))</f>
        <v>Electronics</v>
      </c>
      <c r="H117" s="16">
        <f>INDEX(Orders!$F$2:$F$201,MATCH(A117,Orders!$A$2:$A$201,0))</f>
        <v>202312</v>
      </c>
      <c r="I117" s="16" t="str">
        <f>INDEX(Orders!$E$2:$E$201,MATCH(A117,Orders!$A$2:$A$201,0))</f>
        <v>Pune</v>
      </c>
    </row>
    <row r="118" spans="1:9" x14ac:dyDescent="0.3">
      <c r="A118" s="16">
        <v>51</v>
      </c>
      <c r="B118" s="16">
        <v>7</v>
      </c>
      <c r="C118" s="16">
        <v>2</v>
      </c>
      <c r="D118" s="17">
        <v>40000</v>
      </c>
      <c r="E118" s="17">
        <f t="shared" si="1"/>
        <v>80000</v>
      </c>
      <c r="F118" s="16" t="str">
        <f>INDEX(Products!$B$2:$B$9,MATCH(B118,Products!$A$2:$A$9,0))</f>
        <v>Digital SLR Camera</v>
      </c>
      <c r="G118" s="16" t="str">
        <f>INDEX(Products!$C$2:$C$9,MATCH(B118,Products!$A$2:$A$9,0))</f>
        <v>Photography</v>
      </c>
      <c r="H118" s="16">
        <f>INDEX(Orders!$F$2:$F$201,MATCH(A118,Orders!$A$2:$A$201,0))</f>
        <v>202312</v>
      </c>
      <c r="I118" s="16" t="str">
        <f>INDEX(Orders!$E$2:$E$201,MATCH(A118,Orders!$A$2:$A$201,0))</f>
        <v>Pune</v>
      </c>
    </row>
    <row r="119" spans="1:9" x14ac:dyDescent="0.3">
      <c r="A119" s="16">
        <v>51</v>
      </c>
      <c r="B119" s="16">
        <v>7</v>
      </c>
      <c r="C119" s="16">
        <v>2</v>
      </c>
      <c r="D119" s="17">
        <v>40000</v>
      </c>
      <c r="E119" s="17">
        <f t="shared" si="1"/>
        <v>80000</v>
      </c>
      <c r="F119" s="16" t="str">
        <f>INDEX(Products!$B$2:$B$9,MATCH(B119,Products!$A$2:$A$9,0))</f>
        <v>Digital SLR Camera</v>
      </c>
      <c r="G119" s="16" t="str">
        <f>INDEX(Products!$C$2:$C$9,MATCH(B119,Products!$A$2:$A$9,0))</f>
        <v>Photography</v>
      </c>
      <c r="H119" s="16">
        <f>INDEX(Orders!$F$2:$F$201,MATCH(A119,Orders!$A$2:$A$201,0))</f>
        <v>202312</v>
      </c>
      <c r="I119" s="16" t="str">
        <f>INDEX(Orders!$E$2:$E$201,MATCH(A119,Orders!$A$2:$A$201,0))</f>
        <v>Pune</v>
      </c>
    </row>
    <row r="120" spans="1:9" x14ac:dyDescent="0.3">
      <c r="A120" s="16">
        <v>52</v>
      </c>
      <c r="B120" s="16">
        <v>5</v>
      </c>
      <c r="C120" s="16">
        <v>2</v>
      </c>
      <c r="D120" s="17">
        <v>5000</v>
      </c>
      <c r="E120" s="17">
        <f t="shared" si="1"/>
        <v>10000</v>
      </c>
      <c r="F120" s="16" t="str">
        <f>INDEX(Products!$B$2:$B$9,MATCH(B120,Products!$A$2:$A$9,0))</f>
        <v>Smartwatch Fitness Tracker</v>
      </c>
      <c r="G120" s="16" t="str">
        <f>INDEX(Products!$C$2:$C$9,MATCH(B120,Products!$A$2:$A$9,0))</f>
        <v>Wearable Tech</v>
      </c>
      <c r="H120" s="16">
        <f>INDEX(Orders!$F$2:$F$201,MATCH(A120,Orders!$A$2:$A$201,0))</f>
        <v>202312</v>
      </c>
      <c r="I120" s="16" t="str">
        <f>INDEX(Orders!$E$2:$E$201,MATCH(A120,Orders!$A$2:$A$201,0))</f>
        <v>Ahmedabad</v>
      </c>
    </row>
    <row r="121" spans="1:9" x14ac:dyDescent="0.3">
      <c r="A121" s="16">
        <v>52</v>
      </c>
      <c r="B121" s="16">
        <v>8</v>
      </c>
      <c r="C121" s="16">
        <v>3</v>
      </c>
      <c r="D121" s="17">
        <v>3000</v>
      </c>
      <c r="E121" s="17">
        <f t="shared" si="1"/>
        <v>9000</v>
      </c>
      <c r="F121" s="16" t="str">
        <f>INDEX(Products!$B$2:$B$9,MATCH(B121,Products!$A$2:$A$9,0))</f>
        <v>Wireless Earbuds</v>
      </c>
      <c r="G121" s="16" t="str">
        <f>INDEX(Products!$C$2:$C$9,MATCH(B121,Products!$A$2:$A$9,0))</f>
        <v>Wearable Tech</v>
      </c>
      <c r="H121" s="16">
        <f>INDEX(Orders!$F$2:$F$201,MATCH(A121,Orders!$A$2:$A$201,0))</f>
        <v>202312</v>
      </c>
      <c r="I121" s="16" t="str">
        <f>INDEX(Orders!$E$2:$E$201,MATCH(A121,Orders!$A$2:$A$201,0))</f>
        <v>Ahmedabad</v>
      </c>
    </row>
    <row r="122" spans="1:9" x14ac:dyDescent="0.3">
      <c r="A122" s="16">
        <v>52</v>
      </c>
      <c r="B122" s="16">
        <v>2</v>
      </c>
      <c r="C122" s="16">
        <v>3</v>
      </c>
      <c r="D122" s="17">
        <v>60000</v>
      </c>
      <c r="E122" s="17">
        <f t="shared" si="1"/>
        <v>180000</v>
      </c>
      <c r="F122" s="16" t="str">
        <f>INDEX(Products!$B$2:$B$9,MATCH(B122,Products!$A$2:$A$9,0))</f>
        <v>Laptop 15" Pro</v>
      </c>
      <c r="G122" s="16" t="str">
        <f>INDEX(Products!$C$2:$C$9,MATCH(B122,Products!$A$2:$A$9,0))</f>
        <v>Electronics</v>
      </c>
      <c r="H122" s="16">
        <f>INDEX(Orders!$F$2:$F$201,MATCH(A122,Orders!$A$2:$A$201,0))</f>
        <v>202312</v>
      </c>
      <c r="I122" s="16" t="str">
        <f>INDEX(Orders!$E$2:$E$201,MATCH(A122,Orders!$A$2:$A$201,0))</f>
        <v>Ahmedabad</v>
      </c>
    </row>
    <row r="123" spans="1:9" x14ac:dyDescent="0.3">
      <c r="A123" s="16">
        <v>53</v>
      </c>
      <c r="B123" s="16">
        <v>7</v>
      </c>
      <c r="C123" s="16">
        <v>2</v>
      </c>
      <c r="D123" s="17">
        <v>40000</v>
      </c>
      <c r="E123" s="17">
        <f t="shared" si="1"/>
        <v>80000</v>
      </c>
      <c r="F123" s="16" t="str">
        <f>INDEX(Products!$B$2:$B$9,MATCH(B123,Products!$A$2:$A$9,0))</f>
        <v>Digital SLR Camera</v>
      </c>
      <c r="G123" s="16" t="str">
        <f>INDEX(Products!$C$2:$C$9,MATCH(B123,Products!$A$2:$A$9,0))</f>
        <v>Photography</v>
      </c>
      <c r="H123" s="16">
        <f>INDEX(Orders!$F$2:$F$201,MATCH(A123,Orders!$A$2:$A$201,0))</f>
        <v>202304</v>
      </c>
      <c r="I123" s="16" t="str">
        <f>INDEX(Orders!$E$2:$E$201,MATCH(A123,Orders!$A$2:$A$201,0))</f>
        <v>Lucknow</v>
      </c>
    </row>
    <row r="124" spans="1:9" x14ac:dyDescent="0.3">
      <c r="A124" s="16">
        <v>53</v>
      </c>
      <c r="B124" s="16">
        <v>6</v>
      </c>
      <c r="C124" s="16">
        <v>1</v>
      </c>
      <c r="D124" s="17">
        <v>7000</v>
      </c>
      <c r="E124" s="17">
        <f t="shared" si="1"/>
        <v>7000</v>
      </c>
      <c r="F124" s="16" t="str">
        <f>INDEX(Products!$B$2:$B$9,MATCH(B124,Products!$A$2:$A$9,0))</f>
        <v>Portable Bluetooth Speaker</v>
      </c>
      <c r="G124" s="16" t="str">
        <f>INDEX(Products!$C$2:$C$9,MATCH(B124,Products!$A$2:$A$9,0))</f>
        <v>Electronics</v>
      </c>
      <c r="H124" s="16">
        <f>INDEX(Orders!$F$2:$F$201,MATCH(A124,Orders!$A$2:$A$201,0))</f>
        <v>202304</v>
      </c>
      <c r="I124" s="16" t="str">
        <f>INDEX(Orders!$E$2:$E$201,MATCH(A124,Orders!$A$2:$A$201,0))</f>
        <v>Lucknow</v>
      </c>
    </row>
    <row r="125" spans="1:9" x14ac:dyDescent="0.3">
      <c r="A125" s="16">
        <v>53</v>
      </c>
      <c r="B125" s="16">
        <v>2</v>
      </c>
      <c r="C125" s="16">
        <v>1</v>
      </c>
      <c r="D125" s="17">
        <v>60000</v>
      </c>
      <c r="E125" s="17">
        <f t="shared" si="1"/>
        <v>60000</v>
      </c>
      <c r="F125" s="16" t="str">
        <f>INDEX(Products!$B$2:$B$9,MATCH(B125,Products!$A$2:$A$9,0))</f>
        <v>Laptop 15" Pro</v>
      </c>
      <c r="G125" s="16" t="str">
        <f>INDEX(Products!$C$2:$C$9,MATCH(B125,Products!$A$2:$A$9,0))</f>
        <v>Electronics</v>
      </c>
      <c r="H125" s="16">
        <f>INDEX(Orders!$F$2:$F$201,MATCH(A125,Orders!$A$2:$A$201,0))</f>
        <v>202304</v>
      </c>
      <c r="I125" s="16" t="str">
        <f>INDEX(Orders!$E$2:$E$201,MATCH(A125,Orders!$A$2:$A$201,0))</f>
        <v>Lucknow</v>
      </c>
    </row>
    <row r="126" spans="1:9" x14ac:dyDescent="0.3">
      <c r="A126" s="16">
        <v>54</v>
      </c>
      <c r="B126" s="16">
        <v>4</v>
      </c>
      <c r="C126" s="16">
        <v>3</v>
      </c>
      <c r="D126" s="17">
        <v>12000</v>
      </c>
      <c r="E126" s="17">
        <f t="shared" si="1"/>
        <v>36000</v>
      </c>
      <c r="F126" s="16" t="str">
        <f>INDEX(Products!$B$2:$B$9,MATCH(B126,Products!$A$2:$A$9,0))</f>
        <v>E-Book Reader</v>
      </c>
      <c r="G126" s="16" t="str">
        <f>INDEX(Products!$C$2:$C$9,MATCH(B126,Products!$A$2:$A$9,0))</f>
        <v>Electronics</v>
      </c>
      <c r="H126" s="16">
        <f>INDEX(Orders!$F$2:$F$201,MATCH(A126,Orders!$A$2:$A$201,0))</f>
        <v>202310</v>
      </c>
      <c r="I126" s="16" t="str">
        <f>INDEX(Orders!$E$2:$E$201,MATCH(A126,Orders!$A$2:$A$201,0))</f>
        <v>Lucknow</v>
      </c>
    </row>
    <row r="127" spans="1:9" x14ac:dyDescent="0.3">
      <c r="A127" s="16">
        <v>54</v>
      </c>
      <c r="B127" s="16">
        <v>6</v>
      </c>
      <c r="C127" s="16">
        <v>3</v>
      </c>
      <c r="D127" s="17">
        <v>7000</v>
      </c>
      <c r="E127" s="17">
        <f t="shared" si="1"/>
        <v>21000</v>
      </c>
      <c r="F127" s="16" t="str">
        <f>INDEX(Products!$B$2:$B$9,MATCH(B127,Products!$A$2:$A$9,0))</f>
        <v>Portable Bluetooth Speaker</v>
      </c>
      <c r="G127" s="16" t="str">
        <f>INDEX(Products!$C$2:$C$9,MATCH(B127,Products!$A$2:$A$9,0))</f>
        <v>Electronics</v>
      </c>
      <c r="H127" s="16">
        <f>INDEX(Orders!$F$2:$F$201,MATCH(A127,Orders!$A$2:$A$201,0))</f>
        <v>202310</v>
      </c>
      <c r="I127" s="16" t="str">
        <f>INDEX(Orders!$E$2:$E$201,MATCH(A127,Orders!$A$2:$A$201,0))</f>
        <v>Lucknow</v>
      </c>
    </row>
    <row r="128" spans="1:9" x14ac:dyDescent="0.3">
      <c r="A128" s="16">
        <v>54</v>
      </c>
      <c r="B128" s="16">
        <v>6</v>
      </c>
      <c r="C128" s="16">
        <v>3</v>
      </c>
      <c r="D128" s="17">
        <v>7000</v>
      </c>
      <c r="E128" s="17">
        <f t="shared" si="1"/>
        <v>21000</v>
      </c>
      <c r="F128" s="16" t="str">
        <f>INDEX(Products!$B$2:$B$9,MATCH(B128,Products!$A$2:$A$9,0))</f>
        <v>Portable Bluetooth Speaker</v>
      </c>
      <c r="G128" s="16" t="str">
        <f>INDEX(Products!$C$2:$C$9,MATCH(B128,Products!$A$2:$A$9,0))</f>
        <v>Electronics</v>
      </c>
      <c r="H128" s="16">
        <f>INDEX(Orders!$F$2:$F$201,MATCH(A128,Orders!$A$2:$A$201,0))</f>
        <v>202310</v>
      </c>
      <c r="I128" s="16" t="str">
        <f>INDEX(Orders!$E$2:$E$201,MATCH(A128,Orders!$A$2:$A$201,0))</f>
        <v>Lucknow</v>
      </c>
    </row>
    <row r="129" spans="1:9" x14ac:dyDescent="0.3">
      <c r="A129" s="16">
        <v>54</v>
      </c>
      <c r="B129" s="16">
        <v>2</v>
      </c>
      <c r="C129" s="16">
        <v>2</v>
      </c>
      <c r="D129" s="17">
        <v>60000</v>
      </c>
      <c r="E129" s="17">
        <f t="shared" si="1"/>
        <v>120000</v>
      </c>
      <c r="F129" s="16" t="str">
        <f>INDEX(Products!$B$2:$B$9,MATCH(B129,Products!$A$2:$A$9,0))</f>
        <v>Laptop 15" Pro</v>
      </c>
      <c r="G129" s="16" t="str">
        <f>INDEX(Products!$C$2:$C$9,MATCH(B129,Products!$A$2:$A$9,0))</f>
        <v>Electronics</v>
      </c>
      <c r="H129" s="16">
        <f>INDEX(Orders!$F$2:$F$201,MATCH(A129,Orders!$A$2:$A$201,0))</f>
        <v>202310</v>
      </c>
      <c r="I129" s="16" t="str">
        <f>INDEX(Orders!$E$2:$E$201,MATCH(A129,Orders!$A$2:$A$201,0))</f>
        <v>Lucknow</v>
      </c>
    </row>
    <row r="130" spans="1:9" x14ac:dyDescent="0.3">
      <c r="A130" s="16">
        <v>55</v>
      </c>
      <c r="B130" s="16">
        <v>3</v>
      </c>
      <c r="C130" s="16">
        <v>2</v>
      </c>
      <c r="D130" s="17">
        <v>8000</v>
      </c>
      <c r="E130" s="17">
        <f t="shared" ref="E130:E193" si="2">C130*D130</f>
        <v>16000</v>
      </c>
      <c r="F130" s="16" t="str">
        <f>INDEX(Products!$B$2:$B$9,MATCH(B130,Products!$A$2:$A$9,0))</f>
        <v>Bluetooth Headphones</v>
      </c>
      <c r="G130" s="16" t="str">
        <f>INDEX(Products!$C$2:$C$9,MATCH(B130,Products!$A$2:$A$9,0))</f>
        <v>Electronics</v>
      </c>
      <c r="H130" s="16">
        <f>INDEX(Orders!$F$2:$F$201,MATCH(A130,Orders!$A$2:$A$201,0))</f>
        <v>202307</v>
      </c>
      <c r="I130" s="16" t="str">
        <f>INDEX(Orders!$E$2:$E$201,MATCH(A130,Orders!$A$2:$A$201,0))</f>
        <v>Kolkata</v>
      </c>
    </row>
    <row r="131" spans="1:9" x14ac:dyDescent="0.3">
      <c r="A131" s="16">
        <v>56</v>
      </c>
      <c r="B131" s="16">
        <v>5</v>
      </c>
      <c r="C131" s="16">
        <v>3</v>
      </c>
      <c r="D131" s="17">
        <v>5000</v>
      </c>
      <c r="E131" s="17">
        <f t="shared" si="2"/>
        <v>15000</v>
      </c>
      <c r="F131" s="16" t="str">
        <f>INDEX(Products!$B$2:$B$9,MATCH(B131,Products!$A$2:$A$9,0))</f>
        <v>Smartwatch Fitness Tracker</v>
      </c>
      <c r="G131" s="16" t="str">
        <f>INDEX(Products!$C$2:$C$9,MATCH(B131,Products!$A$2:$A$9,0))</f>
        <v>Wearable Tech</v>
      </c>
      <c r="H131" s="16">
        <f>INDEX(Orders!$F$2:$F$201,MATCH(A131,Orders!$A$2:$A$201,0))</f>
        <v>202305</v>
      </c>
      <c r="I131" s="16" t="str">
        <f>INDEX(Orders!$E$2:$E$201,MATCH(A131,Orders!$A$2:$A$201,0))</f>
        <v>Ahmedabad</v>
      </c>
    </row>
    <row r="132" spans="1:9" x14ac:dyDescent="0.3">
      <c r="A132" s="16">
        <v>56</v>
      </c>
      <c r="B132" s="16">
        <v>8</v>
      </c>
      <c r="C132" s="16">
        <v>3</v>
      </c>
      <c r="D132" s="17">
        <v>3000</v>
      </c>
      <c r="E132" s="17">
        <f t="shared" si="2"/>
        <v>9000</v>
      </c>
      <c r="F132" s="16" t="str">
        <f>INDEX(Products!$B$2:$B$9,MATCH(B132,Products!$A$2:$A$9,0))</f>
        <v>Wireless Earbuds</v>
      </c>
      <c r="G132" s="16" t="str">
        <f>INDEX(Products!$C$2:$C$9,MATCH(B132,Products!$A$2:$A$9,0))</f>
        <v>Wearable Tech</v>
      </c>
      <c r="H132" s="16">
        <f>INDEX(Orders!$F$2:$F$201,MATCH(A132,Orders!$A$2:$A$201,0))</f>
        <v>202305</v>
      </c>
      <c r="I132" s="16" t="str">
        <f>INDEX(Orders!$E$2:$E$201,MATCH(A132,Orders!$A$2:$A$201,0))</f>
        <v>Ahmedabad</v>
      </c>
    </row>
    <row r="133" spans="1:9" x14ac:dyDescent="0.3">
      <c r="A133" s="16">
        <v>56</v>
      </c>
      <c r="B133" s="16">
        <v>5</v>
      </c>
      <c r="C133" s="16">
        <v>1</v>
      </c>
      <c r="D133" s="17">
        <v>5000</v>
      </c>
      <c r="E133" s="17">
        <f t="shared" si="2"/>
        <v>5000</v>
      </c>
      <c r="F133" s="16" t="str">
        <f>INDEX(Products!$B$2:$B$9,MATCH(B133,Products!$A$2:$A$9,0))</f>
        <v>Smartwatch Fitness Tracker</v>
      </c>
      <c r="G133" s="16" t="str">
        <f>INDEX(Products!$C$2:$C$9,MATCH(B133,Products!$A$2:$A$9,0))</f>
        <v>Wearable Tech</v>
      </c>
      <c r="H133" s="16">
        <f>INDEX(Orders!$F$2:$F$201,MATCH(A133,Orders!$A$2:$A$201,0))</f>
        <v>202305</v>
      </c>
      <c r="I133" s="16" t="str">
        <f>INDEX(Orders!$E$2:$E$201,MATCH(A133,Orders!$A$2:$A$201,0))</f>
        <v>Ahmedabad</v>
      </c>
    </row>
    <row r="134" spans="1:9" x14ac:dyDescent="0.3">
      <c r="A134" s="16">
        <v>56</v>
      </c>
      <c r="B134" s="16">
        <v>1</v>
      </c>
      <c r="C134" s="16">
        <v>3</v>
      </c>
      <c r="D134" s="17">
        <v>15000</v>
      </c>
      <c r="E134" s="17">
        <f t="shared" si="2"/>
        <v>45000</v>
      </c>
      <c r="F134" s="16" t="str">
        <f>INDEX(Products!$B$2:$B$9,MATCH(B134,Products!$A$2:$A$9,0))</f>
        <v>Smartphone 6"</v>
      </c>
      <c r="G134" s="16" t="str">
        <f>INDEX(Products!$C$2:$C$9,MATCH(B134,Products!$A$2:$A$9,0))</f>
        <v>Electronics</v>
      </c>
      <c r="H134" s="16">
        <f>INDEX(Orders!$F$2:$F$201,MATCH(A134,Orders!$A$2:$A$201,0))</f>
        <v>202305</v>
      </c>
      <c r="I134" s="16" t="str">
        <f>INDEX(Orders!$E$2:$E$201,MATCH(A134,Orders!$A$2:$A$201,0))</f>
        <v>Ahmedabad</v>
      </c>
    </row>
    <row r="135" spans="1:9" x14ac:dyDescent="0.3">
      <c r="A135" s="16">
        <v>57</v>
      </c>
      <c r="B135" s="16">
        <v>3</v>
      </c>
      <c r="C135" s="16">
        <v>3</v>
      </c>
      <c r="D135" s="17">
        <v>8000</v>
      </c>
      <c r="E135" s="17">
        <f t="shared" si="2"/>
        <v>24000</v>
      </c>
      <c r="F135" s="16" t="str">
        <f>INDEX(Products!$B$2:$B$9,MATCH(B135,Products!$A$2:$A$9,0))</f>
        <v>Bluetooth Headphones</v>
      </c>
      <c r="G135" s="16" t="str">
        <f>INDEX(Products!$C$2:$C$9,MATCH(B135,Products!$A$2:$A$9,0))</f>
        <v>Electronics</v>
      </c>
      <c r="H135" s="16">
        <f>INDEX(Orders!$F$2:$F$201,MATCH(A135,Orders!$A$2:$A$201,0))</f>
        <v>202309</v>
      </c>
      <c r="I135" s="16" t="str">
        <f>INDEX(Orders!$E$2:$E$201,MATCH(A135,Orders!$A$2:$A$201,0))</f>
        <v>Chennai</v>
      </c>
    </row>
    <row r="136" spans="1:9" x14ac:dyDescent="0.3">
      <c r="A136" s="16">
        <v>57</v>
      </c>
      <c r="B136" s="16">
        <v>7</v>
      </c>
      <c r="C136" s="16">
        <v>3</v>
      </c>
      <c r="D136" s="17">
        <v>40000</v>
      </c>
      <c r="E136" s="17">
        <f t="shared" si="2"/>
        <v>120000</v>
      </c>
      <c r="F136" s="16" t="str">
        <f>INDEX(Products!$B$2:$B$9,MATCH(B136,Products!$A$2:$A$9,0))</f>
        <v>Digital SLR Camera</v>
      </c>
      <c r="G136" s="16" t="str">
        <f>INDEX(Products!$C$2:$C$9,MATCH(B136,Products!$A$2:$A$9,0))</f>
        <v>Photography</v>
      </c>
      <c r="H136" s="16">
        <f>INDEX(Orders!$F$2:$F$201,MATCH(A136,Orders!$A$2:$A$201,0))</f>
        <v>202309</v>
      </c>
      <c r="I136" s="16" t="str">
        <f>INDEX(Orders!$E$2:$E$201,MATCH(A136,Orders!$A$2:$A$201,0))</f>
        <v>Chennai</v>
      </c>
    </row>
    <row r="137" spans="1:9" x14ac:dyDescent="0.3">
      <c r="A137" s="16">
        <v>57</v>
      </c>
      <c r="B137" s="16">
        <v>7</v>
      </c>
      <c r="C137" s="16">
        <v>2</v>
      </c>
      <c r="D137" s="17">
        <v>40000</v>
      </c>
      <c r="E137" s="17">
        <f t="shared" si="2"/>
        <v>80000</v>
      </c>
      <c r="F137" s="16" t="str">
        <f>INDEX(Products!$B$2:$B$9,MATCH(B137,Products!$A$2:$A$9,0))</f>
        <v>Digital SLR Camera</v>
      </c>
      <c r="G137" s="16" t="str">
        <f>INDEX(Products!$C$2:$C$9,MATCH(B137,Products!$A$2:$A$9,0))</f>
        <v>Photography</v>
      </c>
      <c r="H137" s="16">
        <f>INDEX(Orders!$F$2:$F$201,MATCH(A137,Orders!$A$2:$A$201,0))</f>
        <v>202309</v>
      </c>
      <c r="I137" s="16" t="str">
        <f>INDEX(Orders!$E$2:$E$201,MATCH(A137,Orders!$A$2:$A$201,0))</f>
        <v>Chennai</v>
      </c>
    </row>
    <row r="138" spans="1:9" x14ac:dyDescent="0.3">
      <c r="A138" s="16">
        <v>58</v>
      </c>
      <c r="B138" s="16">
        <v>7</v>
      </c>
      <c r="C138" s="16">
        <v>1</v>
      </c>
      <c r="D138" s="17">
        <v>40000</v>
      </c>
      <c r="E138" s="17">
        <f t="shared" si="2"/>
        <v>40000</v>
      </c>
      <c r="F138" s="16" t="str">
        <f>INDEX(Products!$B$2:$B$9,MATCH(B138,Products!$A$2:$A$9,0))</f>
        <v>Digital SLR Camera</v>
      </c>
      <c r="G138" s="16" t="str">
        <f>INDEX(Products!$C$2:$C$9,MATCH(B138,Products!$A$2:$A$9,0))</f>
        <v>Photography</v>
      </c>
      <c r="H138" s="16">
        <f>INDEX(Orders!$F$2:$F$201,MATCH(A138,Orders!$A$2:$A$201,0))</f>
        <v>202303</v>
      </c>
      <c r="I138" s="16" t="str">
        <f>INDEX(Orders!$E$2:$E$201,MATCH(A138,Orders!$A$2:$A$201,0))</f>
        <v>Delhi</v>
      </c>
    </row>
    <row r="139" spans="1:9" x14ac:dyDescent="0.3">
      <c r="A139" s="16">
        <v>58</v>
      </c>
      <c r="B139" s="16">
        <v>6</v>
      </c>
      <c r="C139" s="16">
        <v>2</v>
      </c>
      <c r="D139" s="17">
        <v>7000</v>
      </c>
      <c r="E139" s="17">
        <f t="shared" si="2"/>
        <v>14000</v>
      </c>
      <c r="F139" s="16" t="str">
        <f>INDEX(Products!$B$2:$B$9,MATCH(B139,Products!$A$2:$A$9,0))</f>
        <v>Portable Bluetooth Speaker</v>
      </c>
      <c r="G139" s="16" t="str">
        <f>INDEX(Products!$C$2:$C$9,MATCH(B139,Products!$A$2:$A$9,0))</f>
        <v>Electronics</v>
      </c>
      <c r="H139" s="16">
        <f>INDEX(Orders!$F$2:$F$201,MATCH(A139,Orders!$A$2:$A$201,0))</f>
        <v>202303</v>
      </c>
      <c r="I139" s="16" t="str">
        <f>INDEX(Orders!$E$2:$E$201,MATCH(A139,Orders!$A$2:$A$201,0))</f>
        <v>Delhi</v>
      </c>
    </row>
    <row r="140" spans="1:9" x14ac:dyDescent="0.3">
      <c r="A140" s="16">
        <v>58</v>
      </c>
      <c r="B140" s="16">
        <v>2</v>
      </c>
      <c r="C140" s="16">
        <v>1</v>
      </c>
      <c r="D140" s="17">
        <v>60000</v>
      </c>
      <c r="E140" s="17">
        <f t="shared" si="2"/>
        <v>60000</v>
      </c>
      <c r="F140" s="16" t="str">
        <f>INDEX(Products!$B$2:$B$9,MATCH(B140,Products!$A$2:$A$9,0))</f>
        <v>Laptop 15" Pro</v>
      </c>
      <c r="G140" s="16" t="str">
        <f>INDEX(Products!$C$2:$C$9,MATCH(B140,Products!$A$2:$A$9,0))</f>
        <v>Electronics</v>
      </c>
      <c r="H140" s="16">
        <f>INDEX(Orders!$F$2:$F$201,MATCH(A140,Orders!$A$2:$A$201,0))</f>
        <v>202303</v>
      </c>
      <c r="I140" s="16" t="str">
        <f>INDEX(Orders!$E$2:$E$201,MATCH(A140,Orders!$A$2:$A$201,0))</f>
        <v>Delhi</v>
      </c>
    </row>
    <row r="141" spans="1:9" x14ac:dyDescent="0.3">
      <c r="A141" s="16">
        <v>59</v>
      </c>
      <c r="B141" s="16">
        <v>6</v>
      </c>
      <c r="C141" s="16">
        <v>1</v>
      </c>
      <c r="D141" s="17">
        <v>7000</v>
      </c>
      <c r="E141" s="17">
        <f t="shared" si="2"/>
        <v>7000</v>
      </c>
      <c r="F141" s="16" t="str">
        <f>INDEX(Products!$B$2:$B$9,MATCH(B141,Products!$A$2:$A$9,0))</f>
        <v>Portable Bluetooth Speaker</v>
      </c>
      <c r="G141" s="16" t="str">
        <f>INDEX(Products!$C$2:$C$9,MATCH(B141,Products!$A$2:$A$9,0))</f>
        <v>Electronics</v>
      </c>
      <c r="H141" s="16">
        <f>INDEX(Orders!$F$2:$F$201,MATCH(A141,Orders!$A$2:$A$201,0))</f>
        <v>202305</v>
      </c>
      <c r="I141" s="16" t="str">
        <f>INDEX(Orders!$E$2:$E$201,MATCH(A141,Orders!$A$2:$A$201,0))</f>
        <v>Hyderabad</v>
      </c>
    </row>
    <row r="142" spans="1:9" x14ac:dyDescent="0.3">
      <c r="A142" s="16">
        <v>59</v>
      </c>
      <c r="B142" s="16">
        <v>7</v>
      </c>
      <c r="C142" s="16">
        <v>3</v>
      </c>
      <c r="D142" s="17">
        <v>40000</v>
      </c>
      <c r="E142" s="17">
        <f t="shared" si="2"/>
        <v>120000</v>
      </c>
      <c r="F142" s="16" t="str">
        <f>INDEX(Products!$B$2:$B$9,MATCH(B142,Products!$A$2:$A$9,0))</f>
        <v>Digital SLR Camera</v>
      </c>
      <c r="G142" s="16" t="str">
        <f>INDEX(Products!$C$2:$C$9,MATCH(B142,Products!$A$2:$A$9,0))</f>
        <v>Photography</v>
      </c>
      <c r="H142" s="16">
        <f>INDEX(Orders!$F$2:$F$201,MATCH(A142,Orders!$A$2:$A$201,0))</f>
        <v>202305</v>
      </c>
      <c r="I142" s="16" t="str">
        <f>INDEX(Orders!$E$2:$E$201,MATCH(A142,Orders!$A$2:$A$201,0))</f>
        <v>Hyderabad</v>
      </c>
    </row>
    <row r="143" spans="1:9" x14ac:dyDescent="0.3">
      <c r="A143" s="16">
        <v>59</v>
      </c>
      <c r="B143" s="16">
        <v>2</v>
      </c>
      <c r="C143" s="16">
        <v>1</v>
      </c>
      <c r="D143" s="17">
        <v>60000</v>
      </c>
      <c r="E143" s="17">
        <f t="shared" si="2"/>
        <v>60000</v>
      </c>
      <c r="F143" s="16" t="str">
        <f>INDEX(Products!$B$2:$B$9,MATCH(B143,Products!$A$2:$A$9,0))</f>
        <v>Laptop 15" Pro</v>
      </c>
      <c r="G143" s="16" t="str">
        <f>INDEX(Products!$C$2:$C$9,MATCH(B143,Products!$A$2:$A$9,0))</f>
        <v>Electronics</v>
      </c>
      <c r="H143" s="16">
        <f>INDEX(Orders!$F$2:$F$201,MATCH(A143,Orders!$A$2:$A$201,0))</f>
        <v>202305</v>
      </c>
      <c r="I143" s="16" t="str">
        <f>INDEX(Orders!$E$2:$E$201,MATCH(A143,Orders!$A$2:$A$201,0))</f>
        <v>Hyderabad</v>
      </c>
    </row>
    <row r="144" spans="1:9" x14ac:dyDescent="0.3">
      <c r="A144" s="16">
        <v>60</v>
      </c>
      <c r="B144" s="16">
        <v>2</v>
      </c>
      <c r="C144" s="16">
        <v>2</v>
      </c>
      <c r="D144" s="17">
        <v>60000</v>
      </c>
      <c r="E144" s="17">
        <f t="shared" si="2"/>
        <v>120000</v>
      </c>
      <c r="F144" s="16" t="str">
        <f>INDEX(Products!$B$2:$B$9,MATCH(B144,Products!$A$2:$A$9,0))</f>
        <v>Laptop 15" Pro</v>
      </c>
      <c r="G144" s="16" t="str">
        <f>INDEX(Products!$C$2:$C$9,MATCH(B144,Products!$A$2:$A$9,0))</f>
        <v>Electronics</v>
      </c>
      <c r="H144" s="16">
        <f>INDEX(Orders!$F$2:$F$201,MATCH(A144,Orders!$A$2:$A$201,0))</f>
        <v>202304</v>
      </c>
      <c r="I144" s="16" t="str">
        <f>INDEX(Orders!$E$2:$E$201,MATCH(A144,Orders!$A$2:$A$201,0))</f>
        <v>Chennai</v>
      </c>
    </row>
    <row r="145" spans="1:9" x14ac:dyDescent="0.3">
      <c r="A145" s="16">
        <v>60</v>
      </c>
      <c r="B145" s="16">
        <v>4</v>
      </c>
      <c r="C145" s="16">
        <v>1</v>
      </c>
      <c r="D145" s="17">
        <v>12000</v>
      </c>
      <c r="E145" s="17">
        <f t="shared" si="2"/>
        <v>12000</v>
      </c>
      <c r="F145" s="16" t="str">
        <f>INDEX(Products!$B$2:$B$9,MATCH(B145,Products!$A$2:$A$9,0))</f>
        <v>E-Book Reader</v>
      </c>
      <c r="G145" s="16" t="str">
        <f>INDEX(Products!$C$2:$C$9,MATCH(B145,Products!$A$2:$A$9,0))</f>
        <v>Electronics</v>
      </c>
      <c r="H145" s="16">
        <f>INDEX(Orders!$F$2:$F$201,MATCH(A145,Orders!$A$2:$A$201,0))</f>
        <v>202304</v>
      </c>
      <c r="I145" s="16" t="str">
        <f>INDEX(Orders!$E$2:$E$201,MATCH(A145,Orders!$A$2:$A$201,0))</f>
        <v>Chennai</v>
      </c>
    </row>
    <row r="146" spans="1:9" x14ac:dyDescent="0.3">
      <c r="A146" s="16">
        <v>60</v>
      </c>
      <c r="B146" s="16">
        <v>1</v>
      </c>
      <c r="C146" s="16">
        <v>3</v>
      </c>
      <c r="D146" s="17">
        <v>15000</v>
      </c>
      <c r="E146" s="17">
        <f t="shared" si="2"/>
        <v>45000</v>
      </c>
      <c r="F146" s="16" t="str">
        <f>INDEX(Products!$B$2:$B$9,MATCH(B146,Products!$A$2:$A$9,0))</f>
        <v>Smartphone 6"</v>
      </c>
      <c r="G146" s="16" t="str">
        <f>INDEX(Products!$C$2:$C$9,MATCH(B146,Products!$A$2:$A$9,0))</f>
        <v>Electronics</v>
      </c>
      <c r="H146" s="16">
        <f>INDEX(Orders!$F$2:$F$201,MATCH(A146,Orders!$A$2:$A$201,0))</f>
        <v>202304</v>
      </c>
      <c r="I146" s="16" t="str">
        <f>INDEX(Orders!$E$2:$E$201,MATCH(A146,Orders!$A$2:$A$201,0))</f>
        <v>Chennai</v>
      </c>
    </row>
    <row r="147" spans="1:9" x14ac:dyDescent="0.3">
      <c r="A147" s="16">
        <v>61</v>
      </c>
      <c r="B147" s="16">
        <v>8</v>
      </c>
      <c r="C147" s="16">
        <v>1</v>
      </c>
      <c r="D147" s="17">
        <v>3000</v>
      </c>
      <c r="E147" s="17">
        <f t="shared" si="2"/>
        <v>3000</v>
      </c>
      <c r="F147" s="16" t="str">
        <f>INDEX(Products!$B$2:$B$9,MATCH(B147,Products!$A$2:$A$9,0))</f>
        <v>Wireless Earbuds</v>
      </c>
      <c r="G147" s="16" t="str">
        <f>INDEX(Products!$C$2:$C$9,MATCH(B147,Products!$A$2:$A$9,0))</f>
        <v>Wearable Tech</v>
      </c>
      <c r="H147" s="16">
        <f>INDEX(Orders!$F$2:$F$201,MATCH(A147,Orders!$A$2:$A$201,0))</f>
        <v>202306</v>
      </c>
      <c r="I147" s="16" t="str">
        <f>INDEX(Orders!$E$2:$E$201,MATCH(A147,Orders!$A$2:$A$201,0))</f>
        <v>Chennai</v>
      </c>
    </row>
    <row r="148" spans="1:9" x14ac:dyDescent="0.3">
      <c r="A148" s="16">
        <v>62</v>
      </c>
      <c r="B148" s="16">
        <v>8</v>
      </c>
      <c r="C148" s="16">
        <v>2</v>
      </c>
      <c r="D148" s="17">
        <v>3000</v>
      </c>
      <c r="E148" s="17">
        <f t="shared" si="2"/>
        <v>6000</v>
      </c>
      <c r="F148" s="16" t="str">
        <f>INDEX(Products!$B$2:$B$9,MATCH(B148,Products!$A$2:$A$9,0))</f>
        <v>Wireless Earbuds</v>
      </c>
      <c r="G148" s="16" t="str">
        <f>INDEX(Products!$C$2:$C$9,MATCH(B148,Products!$A$2:$A$9,0))</f>
        <v>Wearable Tech</v>
      </c>
      <c r="H148" s="16">
        <f>INDEX(Orders!$F$2:$F$201,MATCH(A148,Orders!$A$2:$A$201,0))</f>
        <v>202401</v>
      </c>
      <c r="I148" s="16" t="str">
        <f>INDEX(Orders!$E$2:$E$201,MATCH(A148,Orders!$A$2:$A$201,0))</f>
        <v>Jaipur</v>
      </c>
    </row>
    <row r="149" spans="1:9" x14ac:dyDescent="0.3">
      <c r="A149" s="16">
        <v>62</v>
      </c>
      <c r="B149" s="16">
        <v>8</v>
      </c>
      <c r="C149" s="16">
        <v>2</v>
      </c>
      <c r="D149" s="17">
        <v>3000</v>
      </c>
      <c r="E149" s="17">
        <f t="shared" si="2"/>
        <v>6000</v>
      </c>
      <c r="F149" s="16" t="str">
        <f>INDEX(Products!$B$2:$B$9,MATCH(B149,Products!$A$2:$A$9,0))</f>
        <v>Wireless Earbuds</v>
      </c>
      <c r="G149" s="16" t="str">
        <f>INDEX(Products!$C$2:$C$9,MATCH(B149,Products!$A$2:$A$9,0))</f>
        <v>Wearable Tech</v>
      </c>
      <c r="H149" s="16">
        <f>INDEX(Orders!$F$2:$F$201,MATCH(A149,Orders!$A$2:$A$201,0))</f>
        <v>202401</v>
      </c>
      <c r="I149" s="16" t="str">
        <f>INDEX(Orders!$E$2:$E$201,MATCH(A149,Orders!$A$2:$A$201,0))</f>
        <v>Jaipur</v>
      </c>
    </row>
    <row r="150" spans="1:9" x14ac:dyDescent="0.3">
      <c r="A150" s="16">
        <v>62</v>
      </c>
      <c r="B150" s="16">
        <v>7</v>
      </c>
      <c r="C150" s="16">
        <v>2</v>
      </c>
      <c r="D150" s="17">
        <v>40000</v>
      </c>
      <c r="E150" s="17">
        <f t="shared" si="2"/>
        <v>80000</v>
      </c>
      <c r="F150" s="16" t="str">
        <f>INDEX(Products!$B$2:$B$9,MATCH(B150,Products!$A$2:$A$9,0))</f>
        <v>Digital SLR Camera</v>
      </c>
      <c r="G150" s="16" t="str">
        <f>INDEX(Products!$C$2:$C$9,MATCH(B150,Products!$A$2:$A$9,0))</f>
        <v>Photography</v>
      </c>
      <c r="H150" s="16">
        <f>INDEX(Orders!$F$2:$F$201,MATCH(A150,Orders!$A$2:$A$201,0))</f>
        <v>202401</v>
      </c>
      <c r="I150" s="16" t="str">
        <f>INDEX(Orders!$E$2:$E$201,MATCH(A150,Orders!$A$2:$A$201,0))</f>
        <v>Jaipur</v>
      </c>
    </row>
    <row r="151" spans="1:9" x14ac:dyDescent="0.3">
      <c r="A151" s="16">
        <v>62</v>
      </c>
      <c r="B151" s="16">
        <v>2</v>
      </c>
      <c r="C151" s="16">
        <v>3</v>
      </c>
      <c r="D151" s="17">
        <v>60000</v>
      </c>
      <c r="E151" s="17">
        <f t="shared" si="2"/>
        <v>180000</v>
      </c>
      <c r="F151" s="16" t="str">
        <f>INDEX(Products!$B$2:$B$9,MATCH(B151,Products!$A$2:$A$9,0))</f>
        <v>Laptop 15" Pro</v>
      </c>
      <c r="G151" s="16" t="str">
        <f>INDEX(Products!$C$2:$C$9,MATCH(B151,Products!$A$2:$A$9,0))</f>
        <v>Electronics</v>
      </c>
      <c r="H151" s="16">
        <f>INDEX(Orders!$F$2:$F$201,MATCH(A151,Orders!$A$2:$A$201,0))</f>
        <v>202401</v>
      </c>
      <c r="I151" s="16" t="str">
        <f>INDEX(Orders!$E$2:$E$201,MATCH(A151,Orders!$A$2:$A$201,0))</f>
        <v>Jaipur</v>
      </c>
    </row>
    <row r="152" spans="1:9" x14ac:dyDescent="0.3">
      <c r="A152" s="16">
        <v>63</v>
      </c>
      <c r="B152" s="16">
        <v>4</v>
      </c>
      <c r="C152" s="16">
        <v>3</v>
      </c>
      <c r="D152" s="17">
        <v>12000</v>
      </c>
      <c r="E152" s="17">
        <f t="shared" si="2"/>
        <v>36000</v>
      </c>
      <c r="F152" s="16" t="str">
        <f>INDEX(Products!$B$2:$B$9,MATCH(B152,Products!$A$2:$A$9,0))</f>
        <v>E-Book Reader</v>
      </c>
      <c r="G152" s="16" t="str">
        <f>INDEX(Products!$C$2:$C$9,MATCH(B152,Products!$A$2:$A$9,0))</f>
        <v>Electronics</v>
      </c>
      <c r="H152" s="16">
        <f>INDEX(Orders!$F$2:$F$201,MATCH(A152,Orders!$A$2:$A$201,0))</f>
        <v>202308</v>
      </c>
      <c r="I152" s="16" t="str">
        <f>INDEX(Orders!$E$2:$E$201,MATCH(A152,Orders!$A$2:$A$201,0))</f>
        <v>Hyderabad</v>
      </c>
    </row>
    <row r="153" spans="1:9" x14ac:dyDescent="0.3">
      <c r="A153" s="16">
        <v>63</v>
      </c>
      <c r="B153" s="16">
        <v>6</v>
      </c>
      <c r="C153" s="16">
        <v>2</v>
      </c>
      <c r="D153" s="17">
        <v>7000</v>
      </c>
      <c r="E153" s="17">
        <f t="shared" si="2"/>
        <v>14000</v>
      </c>
      <c r="F153" s="16" t="str">
        <f>INDEX(Products!$B$2:$B$9,MATCH(B153,Products!$A$2:$A$9,0))</f>
        <v>Portable Bluetooth Speaker</v>
      </c>
      <c r="G153" s="16" t="str">
        <f>INDEX(Products!$C$2:$C$9,MATCH(B153,Products!$A$2:$A$9,0))</f>
        <v>Electronics</v>
      </c>
      <c r="H153" s="16">
        <f>INDEX(Orders!$F$2:$F$201,MATCH(A153,Orders!$A$2:$A$201,0))</f>
        <v>202308</v>
      </c>
      <c r="I153" s="16" t="str">
        <f>INDEX(Orders!$E$2:$E$201,MATCH(A153,Orders!$A$2:$A$201,0))</f>
        <v>Hyderabad</v>
      </c>
    </row>
    <row r="154" spans="1:9" x14ac:dyDescent="0.3">
      <c r="A154" s="16">
        <v>63</v>
      </c>
      <c r="B154" s="16">
        <v>4</v>
      </c>
      <c r="C154" s="16">
        <v>2</v>
      </c>
      <c r="D154" s="17">
        <v>12000</v>
      </c>
      <c r="E154" s="17">
        <f t="shared" si="2"/>
        <v>24000</v>
      </c>
      <c r="F154" s="16" t="str">
        <f>INDEX(Products!$B$2:$B$9,MATCH(B154,Products!$A$2:$A$9,0))</f>
        <v>E-Book Reader</v>
      </c>
      <c r="G154" s="16" t="str">
        <f>INDEX(Products!$C$2:$C$9,MATCH(B154,Products!$A$2:$A$9,0))</f>
        <v>Electronics</v>
      </c>
      <c r="H154" s="16">
        <f>INDEX(Orders!$F$2:$F$201,MATCH(A154,Orders!$A$2:$A$201,0))</f>
        <v>202308</v>
      </c>
      <c r="I154" s="16" t="str">
        <f>INDEX(Orders!$E$2:$E$201,MATCH(A154,Orders!$A$2:$A$201,0))</f>
        <v>Hyderabad</v>
      </c>
    </row>
    <row r="155" spans="1:9" x14ac:dyDescent="0.3">
      <c r="A155" s="16">
        <v>64</v>
      </c>
      <c r="B155" s="16">
        <v>6</v>
      </c>
      <c r="C155" s="16">
        <v>3</v>
      </c>
      <c r="D155" s="17">
        <v>7000</v>
      </c>
      <c r="E155" s="17">
        <f t="shared" si="2"/>
        <v>21000</v>
      </c>
      <c r="F155" s="16" t="str">
        <f>INDEX(Products!$B$2:$B$9,MATCH(B155,Products!$A$2:$A$9,0))</f>
        <v>Portable Bluetooth Speaker</v>
      </c>
      <c r="G155" s="16" t="str">
        <f>INDEX(Products!$C$2:$C$9,MATCH(B155,Products!$A$2:$A$9,0))</f>
        <v>Electronics</v>
      </c>
      <c r="H155" s="16">
        <f>INDEX(Orders!$F$2:$F$201,MATCH(A155,Orders!$A$2:$A$201,0))</f>
        <v>202308</v>
      </c>
      <c r="I155" s="16" t="str">
        <f>INDEX(Orders!$E$2:$E$201,MATCH(A155,Orders!$A$2:$A$201,0))</f>
        <v>Kolkata</v>
      </c>
    </row>
    <row r="156" spans="1:9" x14ac:dyDescent="0.3">
      <c r="A156" s="16">
        <v>64</v>
      </c>
      <c r="B156" s="16">
        <v>7</v>
      </c>
      <c r="C156" s="16">
        <v>2</v>
      </c>
      <c r="D156" s="17">
        <v>40000</v>
      </c>
      <c r="E156" s="17">
        <f t="shared" si="2"/>
        <v>80000</v>
      </c>
      <c r="F156" s="16" t="str">
        <f>INDEX(Products!$B$2:$B$9,MATCH(B156,Products!$A$2:$A$9,0))</f>
        <v>Digital SLR Camera</v>
      </c>
      <c r="G156" s="16" t="str">
        <f>INDEX(Products!$C$2:$C$9,MATCH(B156,Products!$A$2:$A$9,0))</f>
        <v>Photography</v>
      </c>
      <c r="H156" s="16">
        <f>INDEX(Orders!$F$2:$F$201,MATCH(A156,Orders!$A$2:$A$201,0))</f>
        <v>202308</v>
      </c>
      <c r="I156" s="16" t="str">
        <f>INDEX(Orders!$E$2:$E$201,MATCH(A156,Orders!$A$2:$A$201,0))</f>
        <v>Kolkata</v>
      </c>
    </row>
    <row r="157" spans="1:9" x14ac:dyDescent="0.3">
      <c r="A157" s="16">
        <v>64</v>
      </c>
      <c r="B157" s="16">
        <v>3</v>
      </c>
      <c r="C157" s="16">
        <v>1</v>
      </c>
      <c r="D157" s="17">
        <v>8000</v>
      </c>
      <c r="E157" s="17">
        <f t="shared" si="2"/>
        <v>8000</v>
      </c>
      <c r="F157" s="16" t="str">
        <f>INDEX(Products!$B$2:$B$9,MATCH(B157,Products!$A$2:$A$9,0))</f>
        <v>Bluetooth Headphones</v>
      </c>
      <c r="G157" s="16" t="str">
        <f>INDEX(Products!$C$2:$C$9,MATCH(B157,Products!$A$2:$A$9,0))</f>
        <v>Electronics</v>
      </c>
      <c r="H157" s="16">
        <f>INDEX(Orders!$F$2:$F$201,MATCH(A157,Orders!$A$2:$A$201,0))</f>
        <v>202308</v>
      </c>
      <c r="I157" s="16" t="str">
        <f>INDEX(Orders!$E$2:$E$201,MATCH(A157,Orders!$A$2:$A$201,0))</f>
        <v>Kolkata</v>
      </c>
    </row>
    <row r="158" spans="1:9" x14ac:dyDescent="0.3">
      <c r="A158" s="16">
        <v>65</v>
      </c>
      <c r="B158" s="16">
        <v>3</v>
      </c>
      <c r="C158" s="16">
        <v>2</v>
      </c>
      <c r="D158" s="17">
        <v>8000</v>
      </c>
      <c r="E158" s="17">
        <f t="shared" si="2"/>
        <v>16000</v>
      </c>
      <c r="F158" s="16" t="str">
        <f>INDEX(Products!$B$2:$B$9,MATCH(B158,Products!$A$2:$A$9,0))</f>
        <v>Bluetooth Headphones</v>
      </c>
      <c r="G158" s="16" t="str">
        <f>INDEX(Products!$C$2:$C$9,MATCH(B158,Products!$A$2:$A$9,0))</f>
        <v>Electronics</v>
      </c>
      <c r="H158" s="16">
        <f>INDEX(Orders!$F$2:$F$201,MATCH(A158,Orders!$A$2:$A$201,0))</f>
        <v>202309</v>
      </c>
      <c r="I158" s="16" t="str">
        <f>INDEX(Orders!$E$2:$E$201,MATCH(A158,Orders!$A$2:$A$201,0))</f>
        <v>Kolkata</v>
      </c>
    </row>
    <row r="159" spans="1:9" x14ac:dyDescent="0.3">
      <c r="A159" s="16">
        <v>65</v>
      </c>
      <c r="B159" s="16">
        <v>7</v>
      </c>
      <c r="C159" s="16">
        <v>1</v>
      </c>
      <c r="D159" s="17">
        <v>40000</v>
      </c>
      <c r="E159" s="17">
        <f t="shared" si="2"/>
        <v>40000</v>
      </c>
      <c r="F159" s="16" t="str">
        <f>INDEX(Products!$B$2:$B$9,MATCH(B159,Products!$A$2:$A$9,0))</f>
        <v>Digital SLR Camera</v>
      </c>
      <c r="G159" s="16" t="str">
        <f>INDEX(Products!$C$2:$C$9,MATCH(B159,Products!$A$2:$A$9,0))</f>
        <v>Photography</v>
      </c>
      <c r="H159" s="16">
        <f>INDEX(Orders!$F$2:$F$201,MATCH(A159,Orders!$A$2:$A$201,0))</f>
        <v>202309</v>
      </c>
      <c r="I159" s="16" t="str">
        <f>INDEX(Orders!$E$2:$E$201,MATCH(A159,Orders!$A$2:$A$201,0))</f>
        <v>Kolkata</v>
      </c>
    </row>
    <row r="160" spans="1:9" x14ac:dyDescent="0.3">
      <c r="A160" s="16">
        <v>65</v>
      </c>
      <c r="B160" s="16">
        <v>6</v>
      </c>
      <c r="C160" s="16">
        <v>3</v>
      </c>
      <c r="D160" s="17">
        <v>7000</v>
      </c>
      <c r="E160" s="17">
        <f t="shared" si="2"/>
        <v>21000</v>
      </c>
      <c r="F160" s="16" t="str">
        <f>INDEX(Products!$B$2:$B$9,MATCH(B160,Products!$A$2:$A$9,0))</f>
        <v>Portable Bluetooth Speaker</v>
      </c>
      <c r="G160" s="16" t="str">
        <f>INDEX(Products!$C$2:$C$9,MATCH(B160,Products!$A$2:$A$9,0))</f>
        <v>Electronics</v>
      </c>
      <c r="H160" s="16">
        <f>INDEX(Orders!$F$2:$F$201,MATCH(A160,Orders!$A$2:$A$201,0))</f>
        <v>202309</v>
      </c>
      <c r="I160" s="16" t="str">
        <f>INDEX(Orders!$E$2:$E$201,MATCH(A160,Orders!$A$2:$A$201,0))</f>
        <v>Kolkata</v>
      </c>
    </row>
    <row r="161" spans="1:9" x14ac:dyDescent="0.3">
      <c r="A161" s="16">
        <v>65</v>
      </c>
      <c r="B161" s="16">
        <v>4</v>
      </c>
      <c r="C161" s="16">
        <v>2</v>
      </c>
      <c r="D161" s="17">
        <v>12000</v>
      </c>
      <c r="E161" s="17">
        <f t="shared" si="2"/>
        <v>24000</v>
      </c>
      <c r="F161" s="16" t="str">
        <f>INDEX(Products!$B$2:$B$9,MATCH(B161,Products!$A$2:$A$9,0))</f>
        <v>E-Book Reader</v>
      </c>
      <c r="G161" s="16" t="str">
        <f>INDEX(Products!$C$2:$C$9,MATCH(B161,Products!$A$2:$A$9,0))</f>
        <v>Electronics</v>
      </c>
      <c r="H161" s="16">
        <f>INDEX(Orders!$F$2:$F$201,MATCH(A161,Orders!$A$2:$A$201,0))</f>
        <v>202309</v>
      </c>
      <c r="I161" s="16" t="str">
        <f>INDEX(Orders!$E$2:$E$201,MATCH(A161,Orders!$A$2:$A$201,0))</f>
        <v>Kolkata</v>
      </c>
    </row>
    <row r="162" spans="1:9" x14ac:dyDescent="0.3">
      <c r="A162" s="16">
        <v>66</v>
      </c>
      <c r="B162" s="16">
        <v>1</v>
      </c>
      <c r="C162" s="16">
        <v>1</v>
      </c>
      <c r="D162" s="17">
        <v>15000</v>
      </c>
      <c r="E162" s="17">
        <f t="shared" si="2"/>
        <v>15000</v>
      </c>
      <c r="F162" s="16" t="str">
        <f>INDEX(Products!$B$2:$B$9,MATCH(B162,Products!$A$2:$A$9,0))</f>
        <v>Smartphone 6"</v>
      </c>
      <c r="G162" s="16" t="str">
        <f>INDEX(Products!$C$2:$C$9,MATCH(B162,Products!$A$2:$A$9,0))</f>
        <v>Electronics</v>
      </c>
      <c r="H162" s="16">
        <f>INDEX(Orders!$F$2:$F$201,MATCH(A162,Orders!$A$2:$A$201,0))</f>
        <v>202309</v>
      </c>
      <c r="I162" s="16" t="str">
        <f>INDEX(Orders!$E$2:$E$201,MATCH(A162,Orders!$A$2:$A$201,0))</f>
        <v>Jaipur</v>
      </c>
    </row>
    <row r="163" spans="1:9" x14ac:dyDescent="0.3">
      <c r="A163" s="16">
        <v>66</v>
      </c>
      <c r="B163" s="16">
        <v>2</v>
      </c>
      <c r="C163" s="16">
        <v>3</v>
      </c>
      <c r="D163" s="17">
        <v>60000</v>
      </c>
      <c r="E163" s="17">
        <f t="shared" si="2"/>
        <v>180000</v>
      </c>
      <c r="F163" s="16" t="str">
        <f>INDEX(Products!$B$2:$B$9,MATCH(B163,Products!$A$2:$A$9,0))</f>
        <v>Laptop 15" Pro</v>
      </c>
      <c r="G163" s="16" t="str">
        <f>INDEX(Products!$C$2:$C$9,MATCH(B163,Products!$A$2:$A$9,0))</f>
        <v>Electronics</v>
      </c>
      <c r="H163" s="16">
        <f>INDEX(Orders!$F$2:$F$201,MATCH(A163,Orders!$A$2:$A$201,0))</f>
        <v>202309</v>
      </c>
      <c r="I163" s="16" t="str">
        <f>INDEX(Orders!$E$2:$E$201,MATCH(A163,Orders!$A$2:$A$201,0))</f>
        <v>Jaipur</v>
      </c>
    </row>
    <row r="164" spans="1:9" x14ac:dyDescent="0.3">
      <c r="A164" s="16">
        <v>66</v>
      </c>
      <c r="B164" s="16">
        <v>7</v>
      </c>
      <c r="C164" s="16">
        <v>1</v>
      </c>
      <c r="D164" s="17">
        <v>40000</v>
      </c>
      <c r="E164" s="17">
        <f t="shared" si="2"/>
        <v>40000</v>
      </c>
      <c r="F164" s="16" t="str">
        <f>INDEX(Products!$B$2:$B$9,MATCH(B164,Products!$A$2:$A$9,0))</f>
        <v>Digital SLR Camera</v>
      </c>
      <c r="G164" s="16" t="str">
        <f>INDEX(Products!$C$2:$C$9,MATCH(B164,Products!$A$2:$A$9,0))</f>
        <v>Photography</v>
      </c>
      <c r="H164" s="16">
        <f>INDEX(Orders!$F$2:$F$201,MATCH(A164,Orders!$A$2:$A$201,0))</f>
        <v>202309</v>
      </c>
      <c r="I164" s="16" t="str">
        <f>INDEX(Orders!$E$2:$E$201,MATCH(A164,Orders!$A$2:$A$201,0))</f>
        <v>Jaipur</v>
      </c>
    </row>
    <row r="165" spans="1:9" x14ac:dyDescent="0.3">
      <c r="A165" s="16">
        <v>67</v>
      </c>
      <c r="B165" s="16">
        <v>8</v>
      </c>
      <c r="C165" s="16">
        <v>3</v>
      </c>
      <c r="D165" s="17">
        <v>3000</v>
      </c>
      <c r="E165" s="17">
        <f t="shared" si="2"/>
        <v>9000</v>
      </c>
      <c r="F165" s="16" t="str">
        <f>INDEX(Products!$B$2:$B$9,MATCH(B165,Products!$A$2:$A$9,0))</f>
        <v>Wireless Earbuds</v>
      </c>
      <c r="G165" s="16" t="str">
        <f>INDEX(Products!$C$2:$C$9,MATCH(B165,Products!$A$2:$A$9,0))</f>
        <v>Wearable Tech</v>
      </c>
      <c r="H165" s="16">
        <f>INDEX(Orders!$F$2:$F$201,MATCH(A165,Orders!$A$2:$A$201,0))</f>
        <v>202401</v>
      </c>
      <c r="I165" s="16" t="str">
        <f>INDEX(Orders!$E$2:$E$201,MATCH(A165,Orders!$A$2:$A$201,0))</f>
        <v>Bangalore</v>
      </c>
    </row>
    <row r="166" spans="1:9" x14ac:dyDescent="0.3">
      <c r="A166" s="16">
        <v>67</v>
      </c>
      <c r="B166" s="16">
        <v>5</v>
      </c>
      <c r="C166" s="16">
        <v>3</v>
      </c>
      <c r="D166" s="17">
        <v>5000</v>
      </c>
      <c r="E166" s="17">
        <f t="shared" si="2"/>
        <v>15000</v>
      </c>
      <c r="F166" s="16" t="str">
        <f>INDEX(Products!$B$2:$B$9,MATCH(B166,Products!$A$2:$A$9,0))</f>
        <v>Smartwatch Fitness Tracker</v>
      </c>
      <c r="G166" s="16" t="str">
        <f>INDEX(Products!$C$2:$C$9,MATCH(B166,Products!$A$2:$A$9,0))</f>
        <v>Wearable Tech</v>
      </c>
      <c r="H166" s="16">
        <f>INDEX(Orders!$F$2:$F$201,MATCH(A166,Orders!$A$2:$A$201,0))</f>
        <v>202401</v>
      </c>
      <c r="I166" s="16" t="str">
        <f>INDEX(Orders!$E$2:$E$201,MATCH(A166,Orders!$A$2:$A$201,0))</f>
        <v>Bangalore</v>
      </c>
    </row>
    <row r="167" spans="1:9" x14ac:dyDescent="0.3">
      <c r="A167" s="16">
        <v>68</v>
      </c>
      <c r="B167" s="16">
        <v>2</v>
      </c>
      <c r="C167" s="16">
        <v>2</v>
      </c>
      <c r="D167" s="17">
        <v>60000</v>
      </c>
      <c r="E167" s="17">
        <f t="shared" si="2"/>
        <v>120000</v>
      </c>
      <c r="F167" s="16" t="str">
        <f>INDEX(Products!$B$2:$B$9,MATCH(B167,Products!$A$2:$A$9,0))</f>
        <v>Laptop 15" Pro</v>
      </c>
      <c r="G167" s="16" t="str">
        <f>INDEX(Products!$C$2:$C$9,MATCH(B167,Products!$A$2:$A$9,0))</f>
        <v>Electronics</v>
      </c>
      <c r="H167" s="16">
        <f>INDEX(Orders!$F$2:$F$201,MATCH(A167,Orders!$A$2:$A$201,0))</f>
        <v>202401</v>
      </c>
      <c r="I167" s="16" t="str">
        <f>INDEX(Orders!$E$2:$E$201,MATCH(A167,Orders!$A$2:$A$201,0))</f>
        <v>Chennai</v>
      </c>
    </row>
    <row r="168" spans="1:9" x14ac:dyDescent="0.3">
      <c r="A168" s="16">
        <v>68</v>
      </c>
      <c r="B168" s="16">
        <v>3</v>
      </c>
      <c r="C168" s="16">
        <v>2</v>
      </c>
      <c r="D168" s="17">
        <v>8000</v>
      </c>
      <c r="E168" s="17">
        <f t="shared" si="2"/>
        <v>16000</v>
      </c>
      <c r="F168" s="16" t="str">
        <f>INDEX(Products!$B$2:$B$9,MATCH(B168,Products!$A$2:$A$9,0))</f>
        <v>Bluetooth Headphones</v>
      </c>
      <c r="G168" s="16" t="str">
        <f>INDEX(Products!$C$2:$C$9,MATCH(B168,Products!$A$2:$A$9,0))</f>
        <v>Electronics</v>
      </c>
      <c r="H168" s="16">
        <f>INDEX(Orders!$F$2:$F$201,MATCH(A168,Orders!$A$2:$A$201,0))</f>
        <v>202401</v>
      </c>
      <c r="I168" s="16" t="str">
        <f>INDEX(Orders!$E$2:$E$201,MATCH(A168,Orders!$A$2:$A$201,0))</f>
        <v>Chennai</v>
      </c>
    </row>
    <row r="169" spans="1:9" x14ac:dyDescent="0.3">
      <c r="A169" s="16">
        <v>68</v>
      </c>
      <c r="B169" s="16">
        <v>8</v>
      </c>
      <c r="C169" s="16">
        <v>3</v>
      </c>
      <c r="D169" s="17">
        <v>3000</v>
      </c>
      <c r="E169" s="17">
        <f t="shared" si="2"/>
        <v>9000</v>
      </c>
      <c r="F169" s="16" t="str">
        <f>INDEX(Products!$B$2:$B$9,MATCH(B169,Products!$A$2:$A$9,0))</f>
        <v>Wireless Earbuds</v>
      </c>
      <c r="G169" s="16" t="str">
        <f>INDEX(Products!$C$2:$C$9,MATCH(B169,Products!$A$2:$A$9,0))</f>
        <v>Wearable Tech</v>
      </c>
      <c r="H169" s="16">
        <f>INDEX(Orders!$F$2:$F$201,MATCH(A169,Orders!$A$2:$A$201,0))</f>
        <v>202401</v>
      </c>
      <c r="I169" s="16" t="str">
        <f>INDEX(Orders!$E$2:$E$201,MATCH(A169,Orders!$A$2:$A$201,0))</f>
        <v>Chennai</v>
      </c>
    </row>
    <row r="170" spans="1:9" x14ac:dyDescent="0.3">
      <c r="A170" s="16">
        <v>69</v>
      </c>
      <c r="B170" s="16">
        <v>5</v>
      </c>
      <c r="C170" s="16">
        <v>3</v>
      </c>
      <c r="D170" s="17">
        <v>5000</v>
      </c>
      <c r="E170" s="17">
        <f t="shared" si="2"/>
        <v>15000</v>
      </c>
      <c r="F170" s="16" t="str">
        <f>INDEX(Products!$B$2:$B$9,MATCH(B170,Products!$A$2:$A$9,0))</f>
        <v>Smartwatch Fitness Tracker</v>
      </c>
      <c r="G170" s="16" t="str">
        <f>INDEX(Products!$C$2:$C$9,MATCH(B170,Products!$A$2:$A$9,0))</f>
        <v>Wearable Tech</v>
      </c>
      <c r="H170" s="16">
        <f>INDEX(Orders!$F$2:$F$201,MATCH(A170,Orders!$A$2:$A$201,0))</f>
        <v>202307</v>
      </c>
      <c r="I170" s="16" t="str">
        <f>INDEX(Orders!$E$2:$E$201,MATCH(A170,Orders!$A$2:$A$201,0))</f>
        <v>Ahmedabad</v>
      </c>
    </row>
    <row r="171" spans="1:9" x14ac:dyDescent="0.3">
      <c r="A171" s="16">
        <v>69</v>
      </c>
      <c r="B171" s="16">
        <v>2</v>
      </c>
      <c r="C171" s="16">
        <v>1</v>
      </c>
      <c r="D171" s="17">
        <v>60000</v>
      </c>
      <c r="E171" s="17">
        <f t="shared" si="2"/>
        <v>60000</v>
      </c>
      <c r="F171" s="16" t="str">
        <f>INDEX(Products!$B$2:$B$9,MATCH(B171,Products!$A$2:$A$9,0))</f>
        <v>Laptop 15" Pro</v>
      </c>
      <c r="G171" s="16" t="str">
        <f>INDEX(Products!$C$2:$C$9,MATCH(B171,Products!$A$2:$A$9,0))</f>
        <v>Electronics</v>
      </c>
      <c r="H171" s="16">
        <f>INDEX(Orders!$F$2:$F$201,MATCH(A171,Orders!$A$2:$A$201,0))</f>
        <v>202307</v>
      </c>
      <c r="I171" s="16" t="str">
        <f>INDEX(Orders!$E$2:$E$201,MATCH(A171,Orders!$A$2:$A$201,0))</f>
        <v>Ahmedabad</v>
      </c>
    </row>
    <row r="172" spans="1:9" x14ac:dyDescent="0.3">
      <c r="A172" s="16">
        <v>70</v>
      </c>
      <c r="B172" s="16">
        <v>6</v>
      </c>
      <c r="C172" s="16">
        <v>3</v>
      </c>
      <c r="D172" s="17">
        <v>7000</v>
      </c>
      <c r="E172" s="17">
        <f t="shared" si="2"/>
        <v>21000</v>
      </c>
      <c r="F172" s="16" t="str">
        <f>INDEX(Products!$B$2:$B$9,MATCH(B172,Products!$A$2:$A$9,0))</f>
        <v>Portable Bluetooth Speaker</v>
      </c>
      <c r="G172" s="16" t="str">
        <f>INDEX(Products!$C$2:$C$9,MATCH(B172,Products!$A$2:$A$9,0))</f>
        <v>Electronics</v>
      </c>
      <c r="H172" s="16">
        <f>INDEX(Orders!$F$2:$F$201,MATCH(A172,Orders!$A$2:$A$201,0))</f>
        <v>202308</v>
      </c>
      <c r="I172" s="16" t="str">
        <f>INDEX(Orders!$E$2:$E$201,MATCH(A172,Orders!$A$2:$A$201,0))</f>
        <v>Lucknow</v>
      </c>
    </row>
    <row r="173" spans="1:9" x14ac:dyDescent="0.3">
      <c r="A173" s="16">
        <v>70</v>
      </c>
      <c r="B173" s="16">
        <v>6</v>
      </c>
      <c r="C173" s="16">
        <v>1</v>
      </c>
      <c r="D173" s="17">
        <v>7000</v>
      </c>
      <c r="E173" s="17">
        <f t="shared" si="2"/>
        <v>7000</v>
      </c>
      <c r="F173" s="16" t="str">
        <f>INDEX(Products!$B$2:$B$9,MATCH(B173,Products!$A$2:$A$9,0))</f>
        <v>Portable Bluetooth Speaker</v>
      </c>
      <c r="G173" s="16" t="str">
        <f>INDEX(Products!$C$2:$C$9,MATCH(B173,Products!$A$2:$A$9,0))</f>
        <v>Electronics</v>
      </c>
      <c r="H173" s="16">
        <f>INDEX(Orders!$F$2:$F$201,MATCH(A173,Orders!$A$2:$A$201,0))</f>
        <v>202308</v>
      </c>
      <c r="I173" s="16" t="str">
        <f>INDEX(Orders!$E$2:$E$201,MATCH(A173,Orders!$A$2:$A$201,0))</f>
        <v>Lucknow</v>
      </c>
    </row>
    <row r="174" spans="1:9" x14ac:dyDescent="0.3">
      <c r="A174" s="16">
        <v>70</v>
      </c>
      <c r="B174" s="16">
        <v>1</v>
      </c>
      <c r="C174" s="16">
        <v>3</v>
      </c>
      <c r="D174" s="17">
        <v>15000</v>
      </c>
      <c r="E174" s="17">
        <f t="shared" si="2"/>
        <v>45000</v>
      </c>
      <c r="F174" s="16" t="str">
        <f>INDEX(Products!$B$2:$B$9,MATCH(B174,Products!$A$2:$A$9,0))</f>
        <v>Smartphone 6"</v>
      </c>
      <c r="G174" s="16" t="str">
        <f>INDEX(Products!$C$2:$C$9,MATCH(B174,Products!$A$2:$A$9,0))</f>
        <v>Electronics</v>
      </c>
      <c r="H174" s="16">
        <f>INDEX(Orders!$F$2:$F$201,MATCH(A174,Orders!$A$2:$A$201,0))</f>
        <v>202308</v>
      </c>
      <c r="I174" s="16" t="str">
        <f>INDEX(Orders!$E$2:$E$201,MATCH(A174,Orders!$A$2:$A$201,0))</f>
        <v>Lucknow</v>
      </c>
    </row>
    <row r="175" spans="1:9" x14ac:dyDescent="0.3">
      <c r="A175" s="16">
        <v>71</v>
      </c>
      <c r="B175" s="16">
        <v>4</v>
      </c>
      <c r="C175" s="16">
        <v>2</v>
      </c>
      <c r="D175" s="17">
        <v>12000</v>
      </c>
      <c r="E175" s="17">
        <f t="shared" si="2"/>
        <v>24000</v>
      </c>
      <c r="F175" s="16" t="str">
        <f>INDEX(Products!$B$2:$B$9,MATCH(B175,Products!$A$2:$A$9,0))</f>
        <v>E-Book Reader</v>
      </c>
      <c r="G175" s="16" t="str">
        <f>INDEX(Products!$C$2:$C$9,MATCH(B175,Products!$A$2:$A$9,0))</f>
        <v>Electronics</v>
      </c>
      <c r="H175" s="16">
        <f>INDEX(Orders!$F$2:$F$201,MATCH(A175,Orders!$A$2:$A$201,0))</f>
        <v>202402</v>
      </c>
      <c r="I175" s="16" t="str">
        <f>INDEX(Orders!$E$2:$E$201,MATCH(A175,Orders!$A$2:$A$201,0))</f>
        <v>Pune</v>
      </c>
    </row>
    <row r="176" spans="1:9" x14ac:dyDescent="0.3">
      <c r="A176" s="16">
        <v>71</v>
      </c>
      <c r="B176" s="16">
        <v>6</v>
      </c>
      <c r="C176" s="16">
        <v>2</v>
      </c>
      <c r="D176" s="17">
        <v>7000</v>
      </c>
      <c r="E176" s="17">
        <f t="shared" si="2"/>
        <v>14000</v>
      </c>
      <c r="F176" s="16" t="str">
        <f>INDEX(Products!$B$2:$B$9,MATCH(B176,Products!$A$2:$A$9,0))</f>
        <v>Portable Bluetooth Speaker</v>
      </c>
      <c r="G176" s="16" t="str">
        <f>INDEX(Products!$C$2:$C$9,MATCH(B176,Products!$A$2:$A$9,0))</f>
        <v>Electronics</v>
      </c>
      <c r="H176" s="16">
        <f>INDEX(Orders!$F$2:$F$201,MATCH(A176,Orders!$A$2:$A$201,0))</f>
        <v>202402</v>
      </c>
      <c r="I176" s="16" t="str">
        <f>INDEX(Orders!$E$2:$E$201,MATCH(A176,Orders!$A$2:$A$201,0))</f>
        <v>Pune</v>
      </c>
    </row>
    <row r="177" spans="1:9" x14ac:dyDescent="0.3">
      <c r="A177" s="16">
        <v>72</v>
      </c>
      <c r="B177" s="16">
        <v>4</v>
      </c>
      <c r="C177" s="16">
        <v>1</v>
      </c>
      <c r="D177" s="17">
        <v>12000</v>
      </c>
      <c r="E177" s="17">
        <f t="shared" si="2"/>
        <v>12000</v>
      </c>
      <c r="F177" s="16" t="str">
        <f>INDEX(Products!$B$2:$B$9,MATCH(B177,Products!$A$2:$A$9,0))</f>
        <v>E-Book Reader</v>
      </c>
      <c r="G177" s="16" t="str">
        <f>INDEX(Products!$C$2:$C$9,MATCH(B177,Products!$A$2:$A$9,0))</f>
        <v>Electronics</v>
      </c>
      <c r="H177" s="16">
        <f>INDEX(Orders!$F$2:$F$201,MATCH(A177,Orders!$A$2:$A$201,0))</f>
        <v>202402</v>
      </c>
      <c r="I177" s="16" t="str">
        <f>INDEX(Orders!$E$2:$E$201,MATCH(A177,Orders!$A$2:$A$201,0))</f>
        <v>Delhi</v>
      </c>
    </row>
    <row r="178" spans="1:9" x14ac:dyDescent="0.3">
      <c r="A178" s="16">
        <v>72</v>
      </c>
      <c r="B178" s="16">
        <v>6</v>
      </c>
      <c r="C178" s="16">
        <v>3</v>
      </c>
      <c r="D178" s="17">
        <v>7000</v>
      </c>
      <c r="E178" s="17">
        <f t="shared" si="2"/>
        <v>21000</v>
      </c>
      <c r="F178" s="16" t="str">
        <f>INDEX(Products!$B$2:$B$9,MATCH(B178,Products!$A$2:$A$9,0))</f>
        <v>Portable Bluetooth Speaker</v>
      </c>
      <c r="G178" s="16" t="str">
        <f>INDEX(Products!$C$2:$C$9,MATCH(B178,Products!$A$2:$A$9,0))</f>
        <v>Electronics</v>
      </c>
      <c r="H178" s="16">
        <f>INDEX(Orders!$F$2:$F$201,MATCH(A178,Orders!$A$2:$A$201,0))</f>
        <v>202402</v>
      </c>
      <c r="I178" s="16" t="str">
        <f>INDEX(Orders!$E$2:$E$201,MATCH(A178,Orders!$A$2:$A$201,0))</f>
        <v>Delhi</v>
      </c>
    </row>
    <row r="179" spans="1:9" x14ac:dyDescent="0.3">
      <c r="A179" s="16">
        <v>73</v>
      </c>
      <c r="B179" s="16">
        <v>7</v>
      </c>
      <c r="C179" s="16">
        <v>1</v>
      </c>
      <c r="D179" s="17">
        <v>40000</v>
      </c>
      <c r="E179" s="17">
        <f t="shared" si="2"/>
        <v>40000</v>
      </c>
      <c r="F179" s="16" t="str">
        <f>INDEX(Products!$B$2:$B$9,MATCH(B179,Products!$A$2:$A$9,0))</f>
        <v>Digital SLR Camera</v>
      </c>
      <c r="G179" s="16" t="str">
        <f>INDEX(Products!$C$2:$C$9,MATCH(B179,Products!$A$2:$A$9,0))</f>
        <v>Photography</v>
      </c>
      <c r="H179" s="16">
        <f>INDEX(Orders!$F$2:$F$201,MATCH(A179,Orders!$A$2:$A$201,0))</f>
        <v>202308</v>
      </c>
      <c r="I179" s="16" t="str">
        <f>INDEX(Orders!$E$2:$E$201,MATCH(A179,Orders!$A$2:$A$201,0))</f>
        <v>Delhi</v>
      </c>
    </row>
    <row r="180" spans="1:9" x14ac:dyDescent="0.3">
      <c r="A180" s="16">
        <v>73</v>
      </c>
      <c r="B180" s="16">
        <v>8</v>
      </c>
      <c r="C180" s="16">
        <v>1</v>
      </c>
      <c r="D180" s="17">
        <v>3000</v>
      </c>
      <c r="E180" s="17">
        <f t="shared" si="2"/>
        <v>3000</v>
      </c>
      <c r="F180" s="16" t="str">
        <f>INDEX(Products!$B$2:$B$9,MATCH(B180,Products!$A$2:$A$9,0))</f>
        <v>Wireless Earbuds</v>
      </c>
      <c r="G180" s="16" t="str">
        <f>INDEX(Products!$C$2:$C$9,MATCH(B180,Products!$A$2:$A$9,0))</f>
        <v>Wearable Tech</v>
      </c>
      <c r="H180" s="16">
        <f>INDEX(Orders!$F$2:$F$201,MATCH(A180,Orders!$A$2:$A$201,0))</f>
        <v>202308</v>
      </c>
      <c r="I180" s="16" t="str">
        <f>INDEX(Orders!$E$2:$E$201,MATCH(A180,Orders!$A$2:$A$201,0))</f>
        <v>Delhi</v>
      </c>
    </row>
    <row r="181" spans="1:9" x14ac:dyDescent="0.3">
      <c r="A181" s="16">
        <v>74</v>
      </c>
      <c r="B181" s="16">
        <v>7</v>
      </c>
      <c r="C181" s="16">
        <v>1</v>
      </c>
      <c r="D181" s="17">
        <v>40000</v>
      </c>
      <c r="E181" s="17">
        <f t="shared" si="2"/>
        <v>40000</v>
      </c>
      <c r="F181" s="16" t="str">
        <f>INDEX(Products!$B$2:$B$9,MATCH(B181,Products!$A$2:$A$9,0))</f>
        <v>Digital SLR Camera</v>
      </c>
      <c r="G181" s="16" t="str">
        <f>INDEX(Products!$C$2:$C$9,MATCH(B181,Products!$A$2:$A$9,0))</f>
        <v>Photography</v>
      </c>
      <c r="H181" s="16">
        <f>INDEX(Orders!$F$2:$F$201,MATCH(A181,Orders!$A$2:$A$201,0))</f>
        <v>202305</v>
      </c>
      <c r="I181" s="16" t="str">
        <f>INDEX(Orders!$E$2:$E$201,MATCH(A181,Orders!$A$2:$A$201,0))</f>
        <v>Delhi</v>
      </c>
    </row>
    <row r="182" spans="1:9" x14ac:dyDescent="0.3">
      <c r="A182" s="16">
        <v>74</v>
      </c>
      <c r="B182" s="16">
        <v>5</v>
      </c>
      <c r="C182" s="16">
        <v>1</v>
      </c>
      <c r="D182" s="17">
        <v>5000</v>
      </c>
      <c r="E182" s="17">
        <f t="shared" si="2"/>
        <v>5000</v>
      </c>
      <c r="F182" s="16" t="str">
        <f>INDEX(Products!$B$2:$B$9,MATCH(B182,Products!$A$2:$A$9,0))</f>
        <v>Smartwatch Fitness Tracker</v>
      </c>
      <c r="G182" s="16" t="str">
        <f>INDEX(Products!$C$2:$C$9,MATCH(B182,Products!$A$2:$A$9,0))</f>
        <v>Wearable Tech</v>
      </c>
      <c r="H182" s="16">
        <f>INDEX(Orders!$F$2:$F$201,MATCH(A182,Orders!$A$2:$A$201,0))</f>
        <v>202305</v>
      </c>
      <c r="I182" s="16" t="str">
        <f>INDEX(Orders!$E$2:$E$201,MATCH(A182,Orders!$A$2:$A$201,0))</f>
        <v>Delhi</v>
      </c>
    </row>
    <row r="183" spans="1:9" x14ac:dyDescent="0.3">
      <c r="A183" s="16">
        <v>74</v>
      </c>
      <c r="B183" s="16">
        <v>6</v>
      </c>
      <c r="C183" s="16">
        <v>3</v>
      </c>
      <c r="D183" s="17">
        <v>7000</v>
      </c>
      <c r="E183" s="17">
        <f t="shared" si="2"/>
        <v>21000</v>
      </c>
      <c r="F183" s="16" t="str">
        <f>INDEX(Products!$B$2:$B$9,MATCH(B183,Products!$A$2:$A$9,0))</f>
        <v>Portable Bluetooth Speaker</v>
      </c>
      <c r="G183" s="16" t="str">
        <f>INDEX(Products!$C$2:$C$9,MATCH(B183,Products!$A$2:$A$9,0))</f>
        <v>Electronics</v>
      </c>
      <c r="H183" s="16">
        <f>INDEX(Orders!$F$2:$F$201,MATCH(A183,Orders!$A$2:$A$201,0))</f>
        <v>202305</v>
      </c>
      <c r="I183" s="16" t="str">
        <f>INDEX(Orders!$E$2:$E$201,MATCH(A183,Orders!$A$2:$A$201,0))</f>
        <v>Delhi</v>
      </c>
    </row>
    <row r="184" spans="1:9" x14ac:dyDescent="0.3">
      <c r="A184" s="16">
        <v>74</v>
      </c>
      <c r="B184" s="16">
        <v>7</v>
      </c>
      <c r="C184" s="16">
        <v>1</v>
      </c>
      <c r="D184" s="17">
        <v>40000</v>
      </c>
      <c r="E184" s="17">
        <f t="shared" si="2"/>
        <v>40000</v>
      </c>
      <c r="F184" s="16" t="str">
        <f>INDEX(Products!$B$2:$B$9,MATCH(B184,Products!$A$2:$A$9,0))</f>
        <v>Digital SLR Camera</v>
      </c>
      <c r="G184" s="16" t="str">
        <f>INDEX(Products!$C$2:$C$9,MATCH(B184,Products!$A$2:$A$9,0))</f>
        <v>Photography</v>
      </c>
      <c r="H184" s="16">
        <f>INDEX(Orders!$F$2:$F$201,MATCH(A184,Orders!$A$2:$A$201,0))</f>
        <v>202305</v>
      </c>
      <c r="I184" s="16" t="str">
        <f>INDEX(Orders!$E$2:$E$201,MATCH(A184,Orders!$A$2:$A$201,0))</f>
        <v>Delhi</v>
      </c>
    </row>
    <row r="185" spans="1:9" x14ac:dyDescent="0.3">
      <c r="A185" s="16">
        <v>75</v>
      </c>
      <c r="B185" s="16">
        <v>4</v>
      </c>
      <c r="C185" s="16">
        <v>2</v>
      </c>
      <c r="D185" s="17">
        <v>12000</v>
      </c>
      <c r="E185" s="17">
        <f t="shared" si="2"/>
        <v>24000</v>
      </c>
      <c r="F185" s="16" t="str">
        <f>INDEX(Products!$B$2:$B$9,MATCH(B185,Products!$A$2:$A$9,0))</f>
        <v>E-Book Reader</v>
      </c>
      <c r="G185" s="16" t="str">
        <f>INDEX(Products!$C$2:$C$9,MATCH(B185,Products!$A$2:$A$9,0))</f>
        <v>Electronics</v>
      </c>
      <c r="H185" s="16">
        <f>INDEX(Orders!$F$2:$F$201,MATCH(A185,Orders!$A$2:$A$201,0))</f>
        <v>202307</v>
      </c>
      <c r="I185" s="16" t="str">
        <f>INDEX(Orders!$E$2:$E$201,MATCH(A185,Orders!$A$2:$A$201,0))</f>
        <v>Lucknow</v>
      </c>
    </row>
    <row r="186" spans="1:9" x14ac:dyDescent="0.3">
      <c r="A186" s="16">
        <v>75</v>
      </c>
      <c r="B186" s="16">
        <v>8</v>
      </c>
      <c r="C186" s="16">
        <v>2</v>
      </c>
      <c r="D186" s="17">
        <v>3000</v>
      </c>
      <c r="E186" s="17">
        <f t="shared" si="2"/>
        <v>6000</v>
      </c>
      <c r="F186" s="16" t="str">
        <f>INDEX(Products!$B$2:$B$9,MATCH(B186,Products!$A$2:$A$9,0))</f>
        <v>Wireless Earbuds</v>
      </c>
      <c r="G186" s="16" t="str">
        <f>INDEX(Products!$C$2:$C$9,MATCH(B186,Products!$A$2:$A$9,0))</f>
        <v>Wearable Tech</v>
      </c>
      <c r="H186" s="16">
        <f>INDEX(Orders!$F$2:$F$201,MATCH(A186,Orders!$A$2:$A$201,0))</f>
        <v>202307</v>
      </c>
      <c r="I186" s="16" t="str">
        <f>INDEX(Orders!$E$2:$E$201,MATCH(A186,Orders!$A$2:$A$201,0))</f>
        <v>Lucknow</v>
      </c>
    </row>
    <row r="187" spans="1:9" x14ac:dyDescent="0.3">
      <c r="A187" s="16">
        <v>75</v>
      </c>
      <c r="B187" s="16">
        <v>1</v>
      </c>
      <c r="C187" s="16">
        <v>2</v>
      </c>
      <c r="D187" s="17">
        <v>15000</v>
      </c>
      <c r="E187" s="17">
        <f t="shared" si="2"/>
        <v>30000</v>
      </c>
      <c r="F187" s="16" t="str">
        <f>INDEX(Products!$B$2:$B$9,MATCH(B187,Products!$A$2:$A$9,0))</f>
        <v>Smartphone 6"</v>
      </c>
      <c r="G187" s="16" t="str">
        <f>INDEX(Products!$C$2:$C$9,MATCH(B187,Products!$A$2:$A$9,0))</f>
        <v>Electronics</v>
      </c>
      <c r="H187" s="16">
        <f>INDEX(Orders!$F$2:$F$201,MATCH(A187,Orders!$A$2:$A$201,0))</f>
        <v>202307</v>
      </c>
      <c r="I187" s="16" t="str">
        <f>INDEX(Orders!$E$2:$E$201,MATCH(A187,Orders!$A$2:$A$201,0))</f>
        <v>Lucknow</v>
      </c>
    </row>
    <row r="188" spans="1:9" x14ac:dyDescent="0.3">
      <c r="A188" s="16">
        <v>75</v>
      </c>
      <c r="B188" s="16">
        <v>6</v>
      </c>
      <c r="C188" s="16">
        <v>2</v>
      </c>
      <c r="D188" s="17">
        <v>7000</v>
      </c>
      <c r="E188" s="17">
        <f t="shared" si="2"/>
        <v>14000</v>
      </c>
      <c r="F188" s="16" t="str">
        <f>INDEX(Products!$B$2:$B$9,MATCH(B188,Products!$A$2:$A$9,0))</f>
        <v>Portable Bluetooth Speaker</v>
      </c>
      <c r="G188" s="16" t="str">
        <f>INDEX(Products!$C$2:$C$9,MATCH(B188,Products!$A$2:$A$9,0))</f>
        <v>Electronics</v>
      </c>
      <c r="H188" s="16">
        <f>INDEX(Orders!$F$2:$F$201,MATCH(A188,Orders!$A$2:$A$201,0))</f>
        <v>202307</v>
      </c>
      <c r="I188" s="16" t="str">
        <f>INDEX(Orders!$E$2:$E$201,MATCH(A188,Orders!$A$2:$A$201,0))</f>
        <v>Lucknow</v>
      </c>
    </row>
    <row r="189" spans="1:9" x14ac:dyDescent="0.3">
      <c r="A189" s="16">
        <v>76</v>
      </c>
      <c r="B189" s="16">
        <v>2</v>
      </c>
      <c r="C189" s="16">
        <v>3</v>
      </c>
      <c r="D189" s="17">
        <v>60000</v>
      </c>
      <c r="E189" s="17">
        <f t="shared" si="2"/>
        <v>180000</v>
      </c>
      <c r="F189" s="16" t="str">
        <f>INDEX(Products!$B$2:$B$9,MATCH(B189,Products!$A$2:$A$9,0))</f>
        <v>Laptop 15" Pro</v>
      </c>
      <c r="G189" s="16" t="str">
        <f>INDEX(Products!$C$2:$C$9,MATCH(B189,Products!$A$2:$A$9,0))</f>
        <v>Electronics</v>
      </c>
      <c r="H189" s="16">
        <f>INDEX(Orders!$F$2:$F$201,MATCH(A189,Orders!$A$2:$A$201,0))</f>
        <v>202401</v>
      </c>
      <c r="I189" s="16" t="str">
        <f>INDEX(Orders!$E$2:$E$201,MATCH(A189,Orders!$A$2:$A$201,0))</f>
        <v>Hyderabad</v>
      </c>
    </row>
    <row r="190" spans="1:9" x14ac:dyDescent="0.3">
      <c r="A190" s="16">
        <v>76</v>
      </c>
      <c r="B190" s="16">
        <v>5</v>
      </c>
      <c r="C190" s="16">
        <v>1</v>
      </c>
      <c r="D190" s="17">
        <v>5000</v>
      </c>
      <c r="E190" s="17">
        <f t="shared" si="2"/>
        <v>5000</v>
      </c>
      <c r="F190" s="16" t="str">
        <f>INDEX(Products!$B$2:$B$9,MATCH(B190,Products!$A$2:$A$9,0))</f>
        <v>Smartwatch Fitness Tracker</v>
      </c>
      <c r="G190" s="16" t="str">
        <f>INDEX(Products!$C$2:$C$9,MATCH(B190,Products!$A$2:$A$9,0))</f>
        <v>Wearable Tech</v>
      </c>
      <c r="H190" s="16">
        <f>INDEX(Orders!$F$2:$F$201,MATCH(A190,Orders!$A$2:$A$201,0))</f>
        <v>202401</v>
      </c>
      <c r="I190" s="16" t="str">
        <f>INDEX(Orders!$E$2:$E$201,MATCH(A190,Orders!$A$2:$A$201,0))</f>
        <v>Hyderabad</v>
      </c>
    </row>
    <row r="191" spans="1:9" x14ac:dyDescent="0.3">
      <c r="A191" s="16">
        <v>76</v>
      </c>
      <c r="B191" s="16">
        <v>1</v>
      </c>
      <c r="C191" s="16">
        <v>2</v>
      </c>
      <c r="D191" s="17">
        <v>15000</v>
      </c>
      <c r="E191" s="17">
        <f t="shared" si="2"/>
        <v>30000</v>
      </c>
      <c r="F191" s="16" t="str">
        <f>INDEX(Products!$B$2:$B$9,MATCH(B191,Products!$A$2:$A$9,0))</f>
        <v>Smartphone 6"</v>
      </c>
      <c r="G191" s="16" t="str">
        <f>INDEX(Products!$C$2:$C$9,MATCH(B191,Products!$A$2:$A$9,0))</f>
        <v>Electronics</v>
      </c>
      <c r="H191" s="16">
        <f>INDEX(Orders!$F$2:$F$201,MATCH(A191,Orders!$A$2:$A$201,0))</f>
        <v>202401</v>
      </c>
      <c r="I191" s="16" t="str">
        <f>INDEX(Orders!$E$2:$E$201,MATCH(A191,Orders!$A$2:$A$201,0))</f>
        <v>Hyderabad</v>
      </c>
    </row>
    <row r="192" spans="1:9" x14ac:dyDescent="0.3">
      <c r="A192" s="16">
        <v>76</v>
      </c>
      <c r="B192" s="16">
        <v>4</v>
      </c>
      <c r="C192" s="16">
        <v>2</v>
      </c>
      <c r="D192" s="17">
        <v>12000</v>
      </c>
      <c r="E192" s="17">
        <f t="shared" si="2"/>
        <v>24000</v>
      </c>
      <c r="F192" s="16" t="str">
        <f>INDEX(Products!$B$2:$B$9,MATCH(B192,Products!$A$2:$A$9,0))</f>
        <v>E-Book Reader</v>
      </c>
      <c r="G192" s="16" t="str">
        <f>INDEX(Products!$C$2:$C$9,MATCH(B192,Products!$A$2:$A$9,0))</f>
        <v>Electronics</v>
      </c>
      <c r="H192" s="16">
        <f>INDEX(Orders!$F$2:$F$201,MATCH(A192,Orders!$A$2:$A$201,0))</f>
        <v>202401</v>
      </c>
      <c r="I192" s="16" t="str">
        <f>INDEX(Orders!$E$2:$E$201,MATCH(A192,Orders!$A$2:$A$201,0))</f>
        <v>Hyderabad</v>
      </c>
    </row>
    <row r="193" spans="1:9" x14ac:dyDescent="0.3">
      <c r="A193" s="16">
        <v>77</v>
      </c>
      <c r="B193" s="16">
        <v>3</v>
      </c>
      <c r="C193" s="16">
        <v>3</v>
      </c>
      <c r="D193" s="17">
        <v>8000</v>
      </c>
      <c r="E193" s="17">
        <f t="shared" si="2"/>
        <v>24000</v>
      </c>
      <c r="F193" s="16" t="str">
        <f>INDEX(Products!$B$2:$B$9,MATCH(B193,Products!$A$2:$A$9,0))</f>
        <v>Bluetooth Headphones</v>
      </c>
      <c r="G193" s="16" t="str">
        <f>INDEX(Products!$C$2:$C$9,MATCH(B193,Products!$A$2:$A$9,0))</f>
        <v>Electronics</v>
      </c>
      <c r="H193" s="16">
        <f>INDEX(Orders!$F$2:$F$201,MATCH(A193,Orders!$A$2:$A$201,0))</f>
        <v>202310</v>
      </c>
      <c r="I193" s="16" t="str">
        <f>INDEX(Orders!$E$2:$E$201,MATCH(A193,Orders!$A$2:$A$201,0))</f>
        <v>Delhi</v>
      </c>
    </row>
    <row r="194" spans="1:9" x14ac:dyDescent="0.3">
      <c r="A194" s="16">
        <v>78</v>
      </c>
      <c r="B194" s="16">
        <v>1</v>
      </c>
      <c r="C194" s="16">
        <v>3</v>
      </c>
      <c r="D194" s="17">
        <v>15000</v>
      </c>
      <c r="E194" s="17">
        <f t="shared" ref="E194:E257" si="3">C194*D194</f>
        <v>45000</v>
      </c>
      <c r="F194" s="16" t="str">
        <f>INDEX(Products!$B$2:$B$9,MATCH(B194,Products!$A$2:$A$9,0))</f>
        <v>Smartphone 6"</v>
      </c>
      <c r="G194" s="16" t="str">
        <f>INDEX(Products!$C$2:$C$9,MATCH(B194,Products!$A$2:$A$9,0))</f>
        <v>Electronics</v>
      </c>
      <c r="H194" s="16">
        <f>INDEX(Orders!$F$2:$F$201,MATCH(A194,Orders!$A$2:$A$201,0))</f>
        <v>202306</v>
      </c>
      <c r="I194" s="16" t="str">
        <f>INDEX(Orders!$E$2:$E$201,MATCH(A194,Orders!$A$2:$A$201,0))</f>
        <v>Bangalore</v>
      </c>
    </row>
    <row r="195" spans="1:9" x14ac:dyDescent="0.3">
      <c r="A195" s="16">
        <v>78</v>
      </c>
      <c r="B195" s="16">
        <v>4</v>
      </c>
      <c r="C195" s="16">
        <v>3</v>
      </c>
      <c r="D195" s="17">
        <v>12000</v>
      </c>
      <c r="E195" s="17">
        <f t="shared" si="3"/>
        <v>36000</v>
      </c>
      <c r="F195" s="16" t="str">
        <f>INDEX(Products!$B$2:$B$9,MATCH(B195,Products!$A$2:$A$9,0))</f>
        <v>E-Book Reader</v>
      </c>
      <c r="G195" s="16" t="str">
        <f>INDEX(Products!$C$2:$C$9,MATCH(B195,Products!$A$2:$A$9,0))</f>
        <v>Electronics</v>
      </c>
      <c r="H195" s="16">
        <f>INDEX(Orders!$F$2:$F$201,MATCH(A195,Orders!$A$2:$A$201,0))</f>
        <v>202306</v>
      </c>
      <c r="I195" s="16" t="str">
        <f>INDEX(Orders!$E$2:$E$201,MATCH(A195,Orders!$A$2:$A$201,0))</f>
        <v>Bangalore</v>
      </c>
    </row>
    <row r="196" spans="1:9" x14ac:dyDescent="0.3">
      <c r="A196" s="16">
        <v>78</v>
      </c>
      <c r="B196" s="16">
        <v>2</v>
      </c>
      <c r="C196" s="16">
        <v>1</v>
      </c>
      <c r="D196" s="17">
        <v>60000</v>
      </c>
      <c r="E196" s="17">
        <f t="shared" si="3"/>
        <v>60000</v>
      </c>
      <c r="F196" s="16" t="str">
        <f>INDEX(Products!$B$2:$B$9,MATCH(B196,Products!$A$2:$A$9,0))</f>
        <v>Laptop 15" Pro</v>
      </c>
      <c r="G196" s="16" t="str">
        <f>INDEX(Products!$C$2:$C$9,MATCH(B196,Products!$A$2:$A$9,0))</f>
        <v>Electronics</v>
      </c>
      <c r="H196" s="16">
        <f>INDEX(Orders!$F$2:$F$201,MATCH(A196,Orders!$A$2:$A$201,0))</f>
        <v>202306</v>
      </c>
      <c r="I196" s="16" t="str">
        <f>INDEX(Orders!$E$2:$E$201,MATCH(A196,Orders!$A$2:$A$201,0))</f>
        <v>Bangalore</v>
      </c>
    </row>
    <row r="197" spans="1:9" x14ac:dyDescent="0.3">
      <c r="A197" s="16">
        <v>79</v>
      </c>
      <c r="B197" s="16">
        <v>8</v>
      </c>
      <c r="C197" s="16">
        <v>2</v>
      </c>
      <c r="D197" s="17">
        <v>3000</v>
      </c>
      <c r="E197" s="17">
        <f t="shared" si="3"/>
        <v>6000</v>
      </c>
      <c r="F197" s="16" t="str">
        <f>INDEX(Products!$B$2:$B$9,MATCH(B197,Products!$A$2:$A$9,0))</f>
        <v>Wireless Earbuds</v>
      </c>
      <c r="G197" s="16" t="str">
        <f>INDEX(Products!$C$2:$C$9,MATCH(B197,Products!$A$2:$A$9,0))</f>
        <v>Wearable Tech</v>
      </c>
      <c r="H197" s="16">
        <f>INDEX(Orders!$F$2:$F$201,MATCH(A197,Orders!$A$2:$A$201,0))</f>
        <v>202307</v>
      </c>
      <c r="I197" s="16" t="str">
        <f>INDEX(Orders!$E$2:$E$201,MATCH(A197,Orders!$A$2:$A$201,0))</f>
        <v>Delhi</v>
      </c>
    </row>
    <row r="198" spans="1:9" x14ac:dyDescent="0.3">
      <c r="A198" s="16">
        <v>79</v>
      </c>
      <c r="B198" s="16">
        <v>8</v>
      </c>
      <c r="C198" s="16">
        <v>1</v>
      </c>
      <c r="D198" s="17">
        <v>3000</v>
      </c>
      <c r="E198" s="17">
        <f t="shared" si="3"/>
        <v>3000</v>
      </c>
      <c r="F198" s="16" t="str">
        <f>INDEX(Products!$B$2:$B$9,MATCH(B198,Products!$A$2:$A$9,0))</f>
        <v>Wireless Earbuds</v>
      </c>
      <c r="G198" s="16" t="str">
        <f>INDEX(Products!$C$2:$C$9,MATCH(B198,Products!$A$2:$A$9,0))</f>
        <v>Wearable Tech</v>
      </c>
      <c r="H198" s="16">
        <f>INDEX(Orders!$F$2:$F$201,MATCH(A198,Orders!$A$2:$A$201,0))</f>
        <v>202307</v>
      </c>
      <c r="I198" s="16" t="str">
        <f>INDEX(Orders!$E$2:$E$201,MATCH(A198,Orders!$A$2:$A$201,0))</f>
        <v>Delhi</v>
      </c>
    </row>
    <row r="199" spans="1:9" x14ac:dyDescent="0.3">
      <c r="A199" s="16">
        <v>79</v>
      </c>
      <c r="B199" s="16">
        <v>3</v>
      </c>
      <c r="C199" s="16">
        <v>1</v>
      </c>
      <c r="D199" s="17">
        <v>8000</v>
      </c>
      <c r="E199" s="17">
        <f t="shared" si="3"/>
        <v>8000</v>
      </c>
      <c r="F199" s="16" t="str">
        <f>INDEX(Products!$B$2:$B$9,MATCH(B199,Products!$A$2:$A$9,0))</f>
        <v>Bluetooth Headphones</v>
      </c>
      <c r="G199" s="16" t="str">
        <f>INDEX(Products!$C$2:$C$9,MATCH(B199,Products!$A$2:$A$9,0))</f>
        <v>Electronics</v>
      </c>
      <c r="H199" s="16">
        <f>INDEX(Orders!$F$2:$F$201,MATCH(A199,Orders!$A$2:$A$201,0))</f>
        <v>202307</v>
      </c>
      <c r="I199" s="16" t="str">
        <f>INDEX(Orders!$E$2:$E$201,MATCH(A199,Orders!$A$2:$A$201,0))</f>
        <v>Delhi</v>
      </c>
    </row>
    <row r="200" spans="1:9" x14ac:dyDescent="0.3">
      <c r="A200" s="16">
        <v>79</v>
      </c>
      <c r="B200" s="16">
        <v>4</v>
      </c>
      <c r="C200" s="16">
        <v>1</v>
      </c>
      <c r="D200" s="17">
        <v>12000</v>
      </c>
      <c r="E200" s="17">
        <f t="shared" si="3"/>
        <v>12000</v>
      </c>
      <c r="F200" s="16" t="str">
        <f>INDEX(Products!$B$2:$B$9,MATCH(B200,Products!$A$2:$A$9,0))</f>
        <v>E-Book Reader</v>
      </c>
      <c r="G200" s="16" t="str">
        <f>INDEX(Products!$C$2:$C$9,MATCH(B200,Products!$A$2:$A$9,0))</f>
        <v>Electronics</v>
      </c>
      <c r="H200" s="16">
        <f>INDEX(Orders!$F$2:$F$201,MATCH(A200,Orders!$A$2:$A$201,0))</f>
        <v>202307</v>
      </c>
      <c r="I200" s="16" t="str">
        <f>INDEX(Orders!$E$2:$E$201,MATCH(A200,Orders!$A$2:$A$201,0))</f>
        <v>Delhi</v>
      </c>
    </row>
    <row r="201" spans="1:9" x14ac:dyDescent="0.3">
      <c r="A201" s="16">
        <v>80</v>
      </c>
      <c r="B201" s="16">
        <v>5</v>
      </c>
      <c r="C201" s="16">
        <v>3</v>
      </c>
      <c r="D201" s="17">
        <v>5000</v>
      </c>
      <c r="E201" s="17">
        <f t="shared" si="3"/>
        <v>15000</v>
      </c>
      <c r="F201" s="16" t="str">
        <f>INDEX(Products!$B$2:$B$9,MATCH(B201,Products!$A$2:$A$9,0))</f>
        <v>Smartwatch Fitness Tracker</v>
      </c>
      <c r="G201" s="16" t="str">
        <f>INDEX(Products!$C$2:$C$9,MATCH(B201,Products!$A$2:$A$9,0))</f>
        <v>Wearable Tech</v>
      </c>
      <c r="H201" s="16">
        <f>INDEX(Orders!$F$2:$F$201,MATCH(A201,Orders!$A$2:$A$201,0))</f>
        <v>202304</v>
      </c>
      <c r="I201" s="16" t="str">
        <f>INDEX(Orders!$E$2:$E$201,MATCH(A201,Orders!$A$2:$A$201,0))</f>
        <v>Chennai</v>
      </c>
    </row>
    <row r="202" spans="1:9" x14ac:dyDescent="0.3">
      <c r="A202" s="16">
        <v>80</v>
      </c>
      <c r="B202" s="16">
        <v>5</v>
      </c>
      <c r="C202" s="16">
        <v>2</v>
      </c>
      <c r="D202" s="17">
        <v>5000</v>
      </c>
      <c r="E202" s="17">
        <f t="shared" si="3"/>
        <v>10000</v>
      </c>
      <c r="F202" s="16" t="str">
        <f>INDEX(Products!$B$2:$B$9,MATCH(B202,Products!$A$2:$A$9,0))</f>
        <v>Smartwatch Fitness Tracker</v>
      </c>
      <c r="G202" s="16" t="str">
        <f>INDEX(Products!$C$2:$C$9,MATCH(B202,Products!$A$2:$A$9,0))</f>
        <v>Wearable Tech</v>
      </c>
      <c r="H202" s="16">
        <f>INDEX(Orders!$F$2:$F$201,MATCH(A202,Orders!$A$2:$A$201,0))</f>
        <v>202304</v>
      </c>
      <c r="I202" s="16" t="str">
        <f>INDEX(Orders!$E$2:$E$201,MATCH(A202,Orders!$A$2:$A$201,0))</f>
        <v>Chennai</v>
      </c>
    </row>
    <row r="203" spans="1:9" x14ac:dyDescent="0.3">
      <c r="A203" s="16">
        <v>80</v>
      </c>
      <c r="B203" s="16">
        <v>5</v>
      </c>
      <c r="C203" s="16">
        <v>2</v>
      </c>
      <c r="D203" s="17">
        <v>5000</v>
      </c>
      <c r="E203" s="17">
        <f t="shared" si="3"/>
        <v>10000</v>
      </c>
      <c r="F203" s="16" t="str">
        <f>INDEX(Products!$B$2:$B$9,MATCH(B203,Products!$A$2:$A$9,0))</f>
        <v>Smartwatch Fitness Tracker</v>
      </c>
      <c r="G203" s="16" t="str">
        <f>INDEX(Products!$C$2:$C$9,MATCH(B203,Products!$A$2:$A$9,0))</f>
        <v>Wearable Tech</v>
      </c>
      <c r="H203" s="16">
        <f>INDEX(Orders!$F$2:$F$201,MATCH(A203,Orders!$A$2:$A$201,0))</f>
        <v>202304</v>
      </c>
      <c r="I203" s="16" t="str">
        <f>INDEX(Orders!$E$2:$E$201,MATCH(A203,Orders!$A$2:$A$201,0))</f>
        <v>Chennai</v>
      </c>
    </row>
    <row r="204" spans="1:9" x14ac:dyDescent="0.3">
      <c r="A204" s="16">
        <v>81</v>
      </c>
      <c r="B204" s="16">
        <v>2</v>
      </c>
      <c r="C204" s="16">
        <v>1</v>
      </c>
      <c r="D204" s="17">
        <v>60000</v>
      </c>
      <c r="E204" s="17">
        <f t="shared" si="3"/>
        <v>60000</v>
      </c>
      <c r="F204" s="16" t="str">
        <f>INDEX(Products!$B$2:$B$9,MATCH(B204,Products!$A$2:$A$9,0))</f>
        <v>Laptop 15" Pro</v>
      </c>
      <c r="G204" s="16" t="str">
        <f>INDEX(Products!$C$2:$C$9,MATCH(B204,Products!$A$2:$A$9,0))</f>
        <v>Electronics</v>
      </c>
      <c r="H204" s="16">
        <f>INDEX(Orders!$F$2:$F$201,MATCH(A204,Orders!$A$2:$A$201,0))</f>
        <v>202308</v>
      </c>
      <c r="I204" s="16" t="str">
        <f>INDEX(Orders!$E$2:$E$201,MATCH(A204,Orders!$A$2:$A$201,0))</f>
        <v>Bangalore</v>
      </c>
    </row>
    <row r="205" spans="1:9" x14ac:dyDescent="0.3">
      <c r="A205" s="16">
        <v>81</v>
      </c>
      <c r="B205" s="16">
        <v>3</v>
      </c>
      <c r="C205" s="16">
        <v>2</v>
      </c>
      <c r="D205" s="17">
        <v>8000</v>
      </c>
      <c r="E205" s="17">
        <f t="shared" si="3"/>
        <v>16000</v>
      </c>
      <c r="F205" s="16" t="str">
        <f>INDEX(Products!$B$2:$B$9,MATCH(B205,Products!$A$2:$A$9,0))</f>
        <v>Bluetooth Headphones</v>
      </c>
      <c r="G205" s="16" t="str">
        <f>INDEX(Products!$C$2:$C$9,MATCH(B205,Products!$A$2:$A$9,0))</f>
        <v>Electronics</v>
      </c>
      <c r="H205" s="16">
        <f>INDEX(Orders!$F$2:$F$201,MATCH(A205,Orders!$A$2:$A$201,0))</f>
        <v>202308</v>
      </c>
      <c r="I205" s="16" t="str">
        <f>INDEX(Orders!$E$2:$E$201,MATCH(A205,Orders!$A$2:$A$201,0))</f>
        <v>Bangalore</v>
      </c>
    </row>
    <row r="206" spans="1:9" x14ac:dyDescent="0.3">
      <c r="A206" s="16">
        <v>82</v>
      </c>
      <c r="B206" s="16">
        <v>3</v>
      </c>
      <c r="C206" s="16">
        <v>3</v>
      </c>
      <c r="D206" s="17">
        <v>8000</v>
      </c>
      <c r="E206" s="17">
        <f t="shared" si="3"/>
        <v>24000</v>
      </c>
      <c r="F206" s="16" t="str">
        <f>INDEX(Products!$B$2:$B$9,MATCH(B206,Products!$A$2:$A$9,0))</f>
        <v>Bluetooth Headphones</v>
      </c>
      <c r="G206" s="16" t="str">
        <f>INDEX(Products!$C$2:$C$9,MATCH(B206,Products!$A$2:$A$9,0))</f>
        <v>Electronics</v>
      </c>
      <c r="H206" s="16">
        <f>INDEX(Orders!$F$2:$F$201,MATCH(A206,Orders!$A$2:$A$201,0))</f>
        <v>202305</v>
      </c>
      <c r="I206" s="16" t="str">
        <f>INDEX(Orders!$E$2:$E$201,MATCH(A206,Orders!$A$2:$A$201,0))</f>
        <v>Jaipur</v>
      </c>
    </row>
    <row r="207" spans="1:9" x14ac:dyDescent="0.3">
      <c r="A207" s="16">
        <v>82</v>
      </c>
      <c r="B207" s="16">
        <v>1</v>
      </c>
      <c r="C207" s="16">
        <v>3</v>
      </c>
      <c r="D207" s="17">
        <v>15000</v>
      </c>
      <c r="E207" s="17">
        <f t="shared" si="3"/>
        <v>45000</v>
      </c>
      <c r="F207" s="16" t="str">
        <f>INDEX(Products!$B$2:$B$9,MATCH(B207,Products!$A$2:$A$9,0))</f>
        <v>Smartphone 6"</v>
      </c>
      <c r="G207" s="16" t="str">
        <f>INDEX(Products!$C$2:$C$9,MATCH(B207,Products!$A$2:$A$9,0))</f>
        <v>Electronics</v>
      </c>
      <c r="H207" s="16">
        <f>INDEX(Orders!$F$2:$F$201,MATCH(A207,Orders!$A$2:$A$201,0))</f>
        <v>202305</v>
      </c>
      <c r="I207" s="16" t="str">
        <f>INDEX(Orders!$E$2:$E$201,MATCH(A207,Orders!$A$2:$A$201,0))</f>
        <v>Jaipur</v>
      </c>
    </row>
    <row r="208" spans="1:9" x14ac:dyDescent="0.3">
      <c r="A208" s="16">
        <v>82</v>
      </c>
      <c r="B208" s="16">
        <v>5</v>
      </c>
      <c r="C208" s="16">
        <v>3</v>
      </c>
      <c r="D208" s="17">
        <v>5000</v>
      </c>
      <c r="E208" s="17">
        <f t="shared" si="3"/>
        <v>15000</v>
      </c>
      <c r="F208" s="16" t="str">
        <f>INDEX(Products!$B$2:$B$9,MATCH(B208,Products!$A$2:$A$9,0))</f>
        <v>Smartwatch Fitness Tracker</v>
      </c>
      <c r="G208" s="16" t="str">
        <f>INDEX(Products!$C$2:$C$9,MATCH(B208,Products!$A$2:$A$9,0))</f>
        <v>Wearable Tech</v>
      </c>
      <c r="H208" s="16">
        <f>INDEX(Orders!$F$2:$F$201,MATCH(A208,Orders!$A$2:$A$201,0))</f>
        <v>202305</v>
      </c>
      <c r="I208" s="16" t="str">
        <f>INDEX(Orders!$E$2:$E$201,MATCH(A208,Orders!$A$2:$A$201,0))</f>
        <v>Jaipur</v>
      </c>
    </row>
    <row r="209" spans="1:9" x14ac:dyDescent="0.3">
      <c r="A209" s="16">
        <v>83</v>
      </c>
      <c r="B209" s="16">
        <v>2</v>
      </c>
      <c r="C209" s="16">
        <v>1</v>
      </c>
      <c r="D209" s="17">
        <v>60000</v>
      </c>
      <c r="E209" s="17">
        <f t="shared" si="3"/>
        <v>60000</v>
      </c>
      <c r="F209" s="16" t="str">
        <f>INDEX(Products!$B$2:$B$9,MATCH(B209,Products!$A$2:$A$9,0))</f>
        <v>Laptop 15" Pro</v>
      </c>
      <c r="G209" s="16" t="str">
        <f>INDEX(Products!$C$2:$C$9,MATCH(B209,Products!$A$2:$A$9,0))</f>
        <v>Electronics</v>
      </c>
      <c r="H209" s="16">
        <f>INDEX(Orders!$F$2:$F$201,MATCH(A209,Orders!$A$2:$A$201,0))</f>
        <v>202402</v>
      </c>
      <c r="I209" s="16" t="str">
        <f>INDEX(Orders!$E$2:$E$201,MATCH(A209,Orders!$A$2:$A$201,0))</f>
        <v>Jaipur</v>
      </c>
    </row>
    <row r="210" spans="1:9" x14ac:dyDescent="0.3">
      <c r="A210" s="16">
        <v>83</v>
      </c>
      <c r="B210" s="16">
        <v>6</v>
      </c>
      <c r="C210" s="16">
        <v>2</v>
      </c>
      <c r="D210" s="17">
        <v>7000</v>
      </c>
      <c r="E210" s="17">
        <f t="shared" si="3"/>
        <v>14000</v>
      </c>
      <c r="F210" s="16" t="str">
        <f>INDEX(Products!$B$2:$B$9,MATCH(B210,Products!$A$2:$A$9,0))</f>
        <v>Portable Bluetooth Speaker</v>
      </c>
      <c r="G210" s="16" t="str">
        <f>INDEX(Products!$C$2:$C$9,MATCH(B210,Products!$A$2:$A$9,0))</f>
        <v>Electronics</v>
      </c>
      <c r="H210" s="16">
        <f>INDEX(Orders!$F$2:$F$201,MATCH(A210,Orders!$A$2:$A$201,0))</f>
        <v>202402</v>
      </c>
      <c r="I210" s="16" t="str">
        <f>INDEX(Orders!$E$2:$E$201,MATCH(A210,Orders!$A$2:$A$201,0))</f>
        <v>Jaipur</v>
      </c>
    </row>
    <row r="211" spans="1:9" x14ac:dyDescent="0.3">
      <c r="A211" s="16">
        <v>83</v>
      </c>
      <c r="B211" s="16">
        <v>8</v>
      </c>
      <c r="C211" s="16">
        <v>3</v>
      </c>
      <c r="D211" s="17">
        <v>3000</v>
      </c>
      <c r="E211" s="17">
        <f t="shared" si="3"/>
        <v>9000</v>
      </c>
      <c r="F211" s="16" t="str">
        <f>INDEX(Products!$B$2:$B$9,MATCH(B211,Products!$A$2:$A$9,0))</f>
        <v>Wireless Earbuds</v>
      </c>
      <c r="G211" s="16" t="str">
        <f>INDEX(Products!$C$2:$C$9,MATCH(B211,Products!$A$2:$A$9,0))</f>
        <v>Wearable Tech</v>
      </c>
      <c r="H211" s="16">
        <f>INDEX(Orders!$F$2:$F$201,MATCH(A211,Orders!$A$2:$A$201,0))</f>
        <v>202402</v>
      </c>
      <c r="I211" s="16" t="str">
        <f>INDEX(Orders!$E$2:$E$201,MATCH(A211,Orders!$A$2:$A$201,0))</f>
        <v>Jaipur</v>
      </c>
    </row>
    <row r="212" spans="1:9" x14ac:dyDescent="0.3">
      <c r="A212" s="16">
        <v>84</v>
      </c>
      <c r="B212" s="16">
        <v>8</v>
      </c>
      <c r="C212" s="16">
        <v>1</v>
      </c>
      <c r="D212" s="17">
        <v>3000</v>
      </c>
      <c r="E212" s="17">
        <f t="shared" si="3"/>
        <v>3000</v>
      </c>
      <c r="F212" s="16" t="str">
        <f>INDEX(Products!$B$2:$B$9,MATCH(B212,Products!$A$2:$A$9,0))</f>
        <v>Wireless Earbuds</v>
      </c>
      <c r="G212" s="16" t="str">
        <f>INDEX(Products!$C$2:$C$9,MATCH(B212,Products!$A$2:$A$9,0))</f>
        <v>Wearable Tech</v>
      </c>
      <c r="H212" s="16">
        <f>INDEX(Orders!$F$2:$F$201,MATCH(A212,Orders!$A$2:$A$201,0))</f>
        <v>202312</v>
      </c>
      <c r="I212" s="16" t="str">
        <f>INDEX(Orders!$E$2:$E$201,MATCH(A212,Orders!$A$2:$A$201,0))</f>
        <v>Delhi</v>
      </c>
    </row>
    <row r="213" spans="1:9" x14ac:dyDescent="0.3">
      <c r="A213" s="16">
        <v>84</v>
      </c>
      <c r="B213" s="16">
        <v>7</v>
      </c>
      <c r="C213" s="16">
        <v>1</v>
      </c>
      <c r="D213" s="17">
        <v>40000</v>
      </c>
      <c r="E213" s="17">
        <f t="shared" si="3"/>
        <v>40000</v>
      </c>
      <c r="F213" s="16" t="str">
        <f>INDEX(Products!$B$2:$B$9,MATCH(B213,Products!$A$2:$A$9,0))</f>
        <v>Digital SLR Camera</v>
      </c>
      <c r="G213" s="16" t="str">
        <f>INDEX(Products!$C$2:$C$9,MATCH(B213,Products!$A$2:$A$9,0))</f>
        <v>Photography</v>
      </c>
      <c r="H213" s="16">
        <f>INDEX(Orders!$F$2:$F$201,MATCH(A213,Orders!$A$2:$A$201,0))</f>
        <v>202312</v>
      </c>
      <c r="I213" s="16" t="str">
        <f>INDEX(Orders!$E$2:$E$201,MATCH(A213,Orders!$A$2:$A$201,0))</f>
        <v>Delhi</v>
      </c>
    </row>
    <row r="214" spans="1:9" x14ac:dyDescent="0.3">
      <c r="A214" s="16">
        <v>84</v>
      </c>
      <c r="B214" s="16">
        <v>7</v>
      </c>
      <c r="C214" s="16">
        <v>1</v>
      </c>
      <c r="D214" s="17">
        <v>40000</v>
      </c>
      <c r="E214" s="17">
        <f t="shared" si="3"/>
        <v>40000</v>
      </c>
      <c r="F214" s="16" t="str">
        <f>INDEX(Products!$B$2:$B$9,MATCH(B214,Products!$A$2:$A$9,0))</f>
        <v>Digital SLR Camera</v>
      </c>
      <c r="G214" s="16" t="str">
        <f>INDEX(Products!$C$2:$C$9,MATCH(B214,Products!$A$2:$A$9,0))</f>
        <v>Photography</v>
      </c>
      <c r="H214" s="16">
        <f>INDEX(Orders!$F$2:$F$201,MATCH(A214,Orders!$A$2:$A$201,0))</f>
        <v>202312</v>
      </c>
      <c r="I214" s="16" t="str">
        <f>INDEX(Orders!$E$2:$E$201,MATCH(A214,Orders!$A$2:$A$201,0))</f>
        <v>Delhi</v>
      </c>
    </row>
    <row r="215" spans="1:9" x14ac:dyDescent="0.3">
      <c r="A215" s="16">
        <v>85</v>
      </c>
      <c r="B215" s="16">
        <v>5</v>
      </c>
      <c r="C215" s="16">
        <v>2</v>
      </c>
      <c r="D215" s="17">
        <v>5000</v>
      </c>
      <c r="E215" s="17">
        <f t="shared" si="3"/>
        <v>10000</v>
      </c>
      <c r="F215" s="16" t="str">
        <f>INDEX(Products!$B$2:$B$9,MATCH(B215,Products!$A$2:$A$9,0))</f>
        <v>Smartwatch Fitness Tracker</v>
      </c>
      <c r="G215" s="16" t="str">
        <f>INDEX(Products!$C$2:$C$9,MATCH(B215,Products!$A$2:$A$9,0))</f>
        <v>Wearable Tech</v>
      </c>
      <c r="H215" s="16">
        <f>INDEX(Orders!$F$2:$F$201,MATCH(A215,Orders!$A$2:$A$201,0))</f>
        <v>202304</v>
      </c>
      <c r="I215" s="16" t="str">
        <f>INDEX(Orders!$E$2:$E$201,MATCH(A215,Orders!$A$2:$A$201,0))</f>
        <v>Kolkata</v>
      </c>
    </row>
    <row r="216" spans="1:9" x14ac:dyDescent="0.3">
      <c r="A216" s="16">
        <v>85</v>
      </c>
      <c r="B216" s="16">
        <v>1</v>
      </c>
      <c r="C216" s="16">
        <v>2</v>
      </c>
      <c r="D216" s="17">
        <v>15000</v>
      </c>
      <c r="E216" s="17">
        <f t="shared" si="3"/>
        <v>30000</v>
      </c>
      <c r="F216" s="16" t="str">
        <f>INDEX(Products!$B$2:$B$9,MATCH(B216,Products!$A$2:$A$9,0))</f>
        <v>Smartphone 6"</v>
      </c>
      <c r="G216" s="16" t="str">
        <f>INDEX(Products!$C$2:$C$9,MATCH(B216,Products!$A$2:$A$9,0))</f>
        <v>Electronics</v>
      </c>
      <c r="H216" s="16">
        <f>INDEX(Orders!$F$2:$F$201,MATCH(A216,Orders!$A$2:$A$201,0))</f>
        <v>202304</v>
      </c>
      <c r="I216" s="16" t="str">
        <f>INDEX(Orders!$E$2:$E$201,MATCH(A216,Orders!$A$2:$A$201,0))</f>
        <v>Kolkata</v>
      </c>
    </row>
    <row r="217" spans="1:9" x14ac:dyDescent="0.3">
      <c r="A217" s="16">
        <v>86</v>
      </c>
      <c r="B217" s="16">
        <v>4</v>
      </c>
      <c r="C217" s="16">
        <v>1</v>
      </c>
      <c r="D217" s="17">
        <v>12000</v>
      </c>
      <c r="E217" s="17">
        <f t="shared" si="3"/>
        <v>12000</v>
      </c>
      <c r="F217" s="16" t="str">
        <f>INDEX(Products!$B$2:$B$9,MATCH(B217,Products!$A$2:$A$9,0))</f>
        <v>E-Book Reader</v>
      </c>
      <c r="G217" s="16" t="str">
        <f>INDEX(Products!$C$2:$C$9,MATCH(B217,Products!$A$2:$A$9,0))</f>
        <v>Electronics</v>
      </c>
      <c r="H217" s="16">
        <f>INDEX(Orders!$F$2:$F$201,MATCH(A217,Orders!$A$2:$A$201,0))</f>
        <v>202307</v>
      </c>
      <c r="I217" s="16" t="str">
        <f>INDEX(Orders!$E$2:$E$201,MATCH(A217,Orders!$A$2:$A$201,0))</f>
        <v>Kolkata</v>
      </c>
    </row>
    <row r="218" spans="1:9" x14ac:dyDescent="0.3">
      <c r="A218" s="16">
        <v>86</v>
      </c>
      <c r="B218" s="16">
        <v>2</v>
      </c>
      <c r="C218" s="16">
        <v>1</v>
      </c>
      <c r="D218" s="17">
        <v>60000</v>
      </c>
      <c r="E218" s="17">
        <f t="shared" si="3"/>
        <v>60000</v>
      </c>
      <c r="F218" s="16" t="str">
        <f>INDEX(Products!$B$2:$B$9,MATCH(B218,Products!$A$2:$A$9,0))</f>
        <v>Laptop 15" Pro</v>
      </c>
      <c r="G218" s="16" t="str">
        <f>INDEX(Products!$C$2:$C$9,MATCH(B218,Products!$A$2:$A$9,0))</f>
        <v>Electronics</v>
      </c>
      <c r="H218" s="16">
        <f>INDEX(Orders!$F$2:$F$201,MATCH(A218,Orders!$A$2:$A$201,0))</f>
        <v>202307</v>
      </c>
      <c r="I218" s="16" t="str">
        <f>INDEX(Orders!$E$2:$E$201,MATCH(A218,Orders!$A$2:$A$201,0))</f>
        <v>Kolkata</v>
      </c>
    </row>
    <row r="219" spans="1:9" x14ac:dyDescent="0.3">
      <c r="A219" s="16">
        <v>86</v>
      </c>
      <c r="B219" s="16">
        <v>5</v>
      </c>
      <c r="C219" s="16">
        <v>1</v>
      </c>
      <c r="D219" s="17">
        <v>5000</v>
      </c>
      <c r="E219" s="17">
        <f t="shared" si="3"/>
        <v>5000</v>
      </c>
      <c r="F219" s="16" t="str">
        <f>INDEX(Products!$B$2:$B$9,MATCH(B219,Products!$A$2:$A$9,0))</f>
        <v>Smartwatch Fitness Tracker</v>
      </c>
      <c r="G219" s="16" t="str">
        <f>INDEX(Products!$C$2:$C$9,MATCH(B219,Products!$A$2:$A$9,0))</f>
        <v>Wearable Tech</v>
      </c>
      <c r="H219" s="16">
        <f>INDEX(Orders!$F$2:$F$201,MATCH(A219,Orders!$A$2:$A$201,0))</f>
        <v>202307</v>
      </c>
      <c r="I219" s="16" t="str">
        <f>INDEX(Orders!$E$2:$E$201,MATCH(A219,Orders!$A$2:$A$201,0))</f>
        <v>Kolkata</v>
      </c>
    </row>
    <row r="220" spans="1:9" x14ac:dyDescent="0.3">
      <c r="A220" s="16">
        <v>87</v>
      </c>
      <c r="B220" s="16">
        <v>1</v>
      </c>
      <c r="C220" s="16">
        <v>2</v>
      </c>
      <c r="D220" s="17">
        <v>15000</v>
      </c>
      <c r="E220" s="17">
        <f t="shared" si="3"/>
        <v>30000</v>
      </c>
      <c r="F220" s="16" t="str">
        <f>INDEX(Products!$B$2:$B$9,MATCH(B220,Products!$A$2:$A$9,0))</f>
        <v>Smartphone 6"</v>
      </c>
      <c r="G220" s="16" t="str">
        <f>INDEX(Products!$C$2:$C$9,MATCH(B220,Products!$A$2:$A$9,0))</f>
        <v>Electronics</v>
      </c>
      <c r="H220" s="16">
        <f>INDEX(Orders!$F$2:$F$201,MATCH(A220,Orders!$A$2:$A$201,0))</f>
        <v>202309</v>
      </c>
      <c r="I220" s="16" t="str">
        <f>INDEX(Orders!$E$2:$E$201,MATCH(A220,Orders!$A$2:$A$201,0))</f>
        <v>Jaipur</v>
      </c>
    </row>
    <row r="221" spans="1:9" x14ac:dyDescent="0.3">
      <c r="A221" s="16">
        <v>87</v>
      </c>
      <c r="B221" s="16">
        <v>6</v>
      </c>
      <c r="C221" s="16">
        <v>2</v>
      </c>
      <c r="D221" s="17">
        <v>7000</v>
      </c>
      <c r="E221" s="17">
        <f t="shared" si="3"/>
        <v>14000</v>
      </c>
      <c r="F221" s="16" t="str">
        <f>INDEX(Products!$B$2:$B$9,MATCH(B221,Products!$A$2:$A$9,0))</f>
        <v>Portable Bluetooth Speaker</v>
      </c>
      <c r="G221" s="16" t="str">
        <f>INDEX(Products!$C$2:$C$9,MATCH(B221,Products!$A$2:$A$9,0))</f>
        <v>Electronics</v>
      </c>
      <c r="H221" s="16">
        <f>INDEX(Orders!$F$2:$F$201,MATCH(A221,Orders!$A$2:$A$201,0))</f>
        <v>202309</v>
      </c>
      <c r="I221" s="16" t="str">
        <f>INDEX(Orders!$E$2:$E$201,MATCH(A221,Orders!$A$2:$A$201,0))</f>
        <v>Jaipur</v>
      </c>
    </row>
    <row r="222" spans="1:9" x14ac:dyDescent="0.3">
      <c r="A222" s="16">
        <v>88</v>
      </c>
      <c r="B222" s="16">
        <v>8</v>
      </c>
      <c r="C222" s="16">
        <v>2</v>
      </c>
      <c r="D222" s="17">
        <v>3000</v>
      </c>
      <c r="E222" s="17">
        <f t="shared" si="3"/>
        <v>6000</v>
      </c>
      <c r="F222" s="16" t="str">
        <f>INDEX(Products!$B$2:$B$9,MATCH(B222,Products!$A$2:$A$9,0))</f>
        <v>Wireless Earbuds</v>
      </c>
      <c r="G222" s="16" t="str">
        <f>INDEX(Products!$C$2:$C$9,MATCH(B222,Products!$A$2:$A$9,0))</f>
        <v>Wearable Tech</v>
      </c>
      <c r="H222" s="16">
        <f>INDEX(Orders!$F$2:$F$201,MATCH(A222,Orders!$A$2:$A$201,0))</f>
        <v>202307</v>
      </c>
      <c r="I222" s="16" t="str">
        <f>INDEX(Orders!$E$2:$E$201,MATCH(A222,Orders!$A$2:$A$201,0))</f>
        <v>Hyderabad</v>
      </c>
    </row>
    <row r="223" spans="1:9" x14ac:dyDescent="0.3">
      <c r="A223" s="16">
        <v>88</v>
      </c>
      <c r="B223" s="16">
        <v>1</v>
      </c>
      <c r="C223" s="16">
        <v>1</v>
      </c>
      <c r="D223" s="17">
        <v>15000</v>
      </c>
      <c r="E223" s="17">
        <f t="shared" si="3"/>
        <v>15000</v>
      </c>
      <c r="F223" s="16" t="str">
        <f>INDEX(Products!$B$2:$B$9,MATCH(B223,Products!$A$2:$A$9,0))</f>
        <v>Smartphone 6"</v>
      </c>
      <c r="G223" s="16" t="str">
        <f>INDEX(Products!$C$2:$C$9,MATCH(B223,Products!$A$2:$A$9,0))</f>
        <v>Electronics</v>
      </c>
      <c r="H223" s="16">
        <f>INDEX(Orders!$F$2:$F$201,MATCH(A223,Orders!$A$2:$A$201,0))</f>
        <v>202307</v>
      </c>
      <c r="I223" s="16" t="str">
        <f>INDEX(Orders!$E$2:$E$201,MATCH(A223,Orders!$A$2:$A$201,0))</f>
        <v>Hyderabad</v>
      </c>
    </row>
    <row r="224" spans="1:9" x14ac:dyDescent="0.3">
      <c r="A224" s="16">
        <v>89</v>
      </c>
      <c r="B224" s="16">
        <v>5</v>
      </c>
      <c r="C224" s="16">
        <v>1</v>
      </c>
      <c r="D224" s="17">
        <v>5000</v>
      </c>
      <c r="E224" s="17">
        <f t="shared" si="3"/>
        <v>5000</v>
      </c>
      <c r="F224" s="16" t="str">
        <f>INDEX(Products!$B$2:$B$9,MATCH(B224,Products!$A$2:$A$9,0))</f>
        <v>Smartwatch Fitness Tracker</v>
      </c>
      <c r="G224" s="16" t="str">
        <f>INDEX(Products!$C$2:$C$9,MATCH(B224,Products!$A$2:$A$9,0))</f>
        <v>Wearable Tech</v>
      </c>
      <c r="H224" s="16">
        <f>INDEX(Orders!$F$2:$F$201,MATCH(A224,Orders!$A$2:$A$201,0))</f>
        <v>202311</v>
      </c>
      <c r="I224" s="16" t="str">
        <f>INDEX(Orders!$E$2:$E$201,MATCH(A224,Orders!$A$2:$A$201,0))</f>
        <v>Delhi</v>
      </c>
    </row>
    <row r="225" spans="1:9" x14ac:dyDescent="0.3">
      <c r="A225" s="16">
        <v>89</v>
      </c>
      <c r="B225" s="16">
        <v>2</v>
      </c>
      <c r="C225" s="16">
        <v>1</v>
      </c>
      <c r="D225" s="17">
        <v>60000</v>
      </c>
      <c r="E225" s="17">
        <f t="shared" si="3"/>
        <v>60000</v>
      </c>
      <c r="F225" s="16" t="str">
        <f>INDEX(Products!$B$2:$B$9,MATCH(B225,Products!$A$2:$A$9,0))</f>
        <v>Laptop 15" Pro</v>
      </c>
      <c r="G225" s="16" t="str">
        <f>INDEX(Products!$C$2:$C$9,MATCH(B225,Products!$A$2:$A$9,0))</f>
        <v>Electronics</v>
      </c>
      <c r="H225" s="16">
        <f>INDEX(Orders!$F$2:$F$201,MATCH(A225,Orders!$A$2:$A$201,0))</f>
        <v>202311</v>
      </c>
      <c r="I225" s="16" t="str">
        <f>INDEX(Orders!$E$2:$E$201,MATCH(A225,Orders!$A$2:$A$201,0))</f>
        <v>Delhi</v>
      </c>
    </row>
    <row r="226" spans="1:9" x14ac:dyDescent="0.3">
      <c r="A226" s="16">
        <v>89</v>
      </c>
      <c r="B226" s="16">
        <v>4</v>
      </c>
      <c r="C226" s="16">
        <v>2</v>
      </c>
      <c r="D226" s="17">
        <v>12000</v>
      </c>
      <c r="E226" s="17">
        <f t="shared" si="3"/>
        <v>24000</v>
      </c>
      <c r="F226" s="16" t="str">
        <f>INDEX(Products!$B$2:$B$9,MATCH(B226,Products!$A$2:$A$9,0))</f>
        <v>E-Book Reader</v>
      </c>
      <c r="G226" s="16" t="str">
        <f>INDEX(Products!$C$2:$C$9,MATCH(B226,Products!$A$2:$A$9,0))</f>
        <v>Electronics</v>
      </c>
      <c r="H226" s="16">
        <f>INDEX(Orders!$F$2:$F$201,MATCH(A226,Orders!$A$2:$A$201,0))</f>
        <v>202311</v>
      </c>
      <c r="I226" s="16" t="str">
        <f>INDEX(Orders!$E$2:$E$201,MATCH(A226,Orders!$A$2:$A$201,0))</f>
        <v>Delhi</v>
      </c>
    </row>
    <row r="227" spans="1:9" x14ac:dyDescent="0.3">
      <c r="A227" s="16">
        <v>89</v>
      </c>
      <c r="B227" s="16">
        <v>2</v>
      </c>
      <c r="C227" s="16">
        <v>1</v>
      </c>
      <c r="D227" s="17">
        <v>60000</v>
      </c>
      <c r="E227" s="17">
        <f t="shared" si="3"/>
        <v>60000</v>
      </c>
      <c r="F227" s="16" t="str">
        <f>INDEX(Products!$B$2:$B$9,MATCH(B227,Products!$A$2:$A$9,0))</f>
        <v>Laptop 15" Pro</v>
      </c>
      <c r="G227" s="16" t="str">
        <f>INDEX(Products!$C$2:$C$9,MATCH(B227,Products!$A$2:$A$9,0))</f>
        <v>Electronics</v>
      </c>
      <c r="H227" s="16">
        <f>INDEX(Orders!$F$2:$F$201,MATCH(A227,Orders!$A$2:$A$201,0))</f>
        <v>202311</v>
      </c>
      <c r="I227" s="16" t="str">
        <f>INDEX(Orders!$E$2:$E$201,MATCH(A227,Orders!$A$2:$A$201,0))</f>
        <v>Delhi</v>
      </c>
    </row>
    <row r="228" spans="1:9" x14ac:dyDescent="0.3">
      <c r="A228" s="16">
        <v>90</v>
      </c>
      <c r="B228" s="16">
        <v>2</v>
      </c>
      <c r="C228" s="16">
        <v>3</v>
      </c>
      <c r="D228" s="17">
        <v>60000</v>
      </c>
      <c r="E228" s="17">
        <f t="shared" si="3"/>
        <v>180000</v>
      </c>
      <c r="F228" s="16" t="str">
        <f>INDEX(Products!$B$2:$B$9,MATCH(B228,Products!$A$2:$A$9,0))</f>
        <v>Laptop 15" Pro</v>
      </c>
      <c r="G228" s="16" t="str">
        <f>INDEX(Products!$C$2:$C$9,MATCH(B228,Products!$A$2:$A$9,0))</f>
        <v>Electronics</v>
      </c>
      <c r="H228" s="16">
        <f>INDEX(Orders!$F$2:$F$201,MATCH(A228,Orders!$A$2:$A$201,0))</f>
        <v>202304</v>
      </c>
      <c r="I228" s="16" t="str">
        <f>INDEX(Orders!$E$2:$E$201,MATCH(A228,Orders!$A$2:$A$201,0))</f>
        <v>Kolkata</v>
      </c>
    </row>
    <row r="229" spans="1:9" x14ac:dyDescent="0.3">
      <c r="A229" s="16">
        <v>90</v>
      </c>
      <c r="B229" s="16">
        <v>5</v>
      </c>
      <c r="C229" s="16">
        <v>1</v>
      </c>
      <c r="D229" s="17">
        <v>5000</v>
      </c>
      <c r="E229" s="17">
        <f t="shared" si="3"/>
        <v>5000</v>
      </c>
      <c r="F229" s="16" t="str">
        <f>INDEX(Products!$B$2:$B$9,MATCH(B229,Products!$A$2:$A$9,0))</f>
        <v>Smartwatch Fitness Tracker</v>
      </c>
      <c r="G229" s="16" t="str">
        <f>INDEX(Products!$C$2:$C$9,MATCH(B229,Products!$A$2:$A$9,0))</f>
        <v>Wearable Tech</v>
      </c>
      <c r="H229" s="16">
        <f>INDEX(Orders!$F$2:$F$201,MATCH(A229,Orders!$A$2:$A$201,0))</f>
        <v>202304</v>
      </c>
      <c r="I229" s="16" t="str">
        <f>INDEX(Orders!$E$2:$E$201,MATCH(A229,Orders!$A$2:$A$201,0))</f>
        <v>Kolkata</v>
      </c>
    </row>
    <row r="230" spans="1:9" x14ac:dyDescent="0.3">
      <c r="A230" s="16">
        <v>91</v>
      </c>
      <c r="B230" s="16">
        <v>8</v>
      </c>
      <c r="C230" s="16">
        <v>1</v>
      </c>
      <c r="D230" s="17">
        <v>3000</v>
      </c>
      <c r="E230" s="17">
        <f t="shared" si="3"/>
        <v>3000</v>
      </c>
      <c r="F230" s="16" t="str">
        <f>INDEX(Products!$B$2:$B$9,MATCH(B230,Products!$A$2:$A$9,0))</f>
        <v>Wireless Earbuds</v>
      </c>
      <c r="G230" s="16" t="str">
        <f>INDEX(Products!$C$2:$C$9,MATCH(B230,Products!$A$2:$A$9,0))</f>
        <v>Wearable Tech</v>
      </c>
      <c r="H230" s="16">
        <f>INDEX(Orders!$F$2:$F$201,MATCH(A230,Orders!$A$2:$A$201,0))</f>
        <v>202402</v>
      </c>
      <c r="I230" s="16" t="str">
        <f>INDEX(Orders!$E$2:$E$201,MATCH(A230,Orders!$A$2:$A$201,0))</f>
        <v>Lucknow</v>
      </c>
    </row>
    <row r="231" spans="1:9" x14ac:dyDescent="0.3">
      <c r="A231" s="16">
        <v>91</v>
      </c>
      <c r="B231" s="16">
        <v>4</v>
      </c>
      <c r="C231" s="16">
        <v>1</v>
      </c>
      <c r="D231" s="17">
        <v>12000</v>
      </c>
      <c r="E231" s="17">
        <f t="shared" si="3"/>
        <v>12000</v>
      </c>
      <c r="F231" s="16" t="str">
        <f>INDEX(Products!$B$2:$B$9,MATCH(B231,Products!$A$2:$A$9,0))</f>
        <v>E-Book Reader</v>
      </c>
      <c r="G231" s="16" t="str">
        <f>INDEX(Products!$C$2:$C$9,MATCH(B231,Products!$A$2:$A$9,0))</f>
        <v>Electronics</v>
      </c>
      <c r="H231" s="16">
        <f>INDEX(Orders!$F$2:$F$201,MATCH(A231,Orders!$A$2:$A$201,0))</f>
        <v>202402</v>
      </c>
      <c r="I231" s="16" t="str">
        <f>INDEX(Orders!$E$2:$E$201,MATCH(A231,Orders!$A$2:$A$201,0))</f>
        <v>Lucknow</v>
      </c>
    </row>
    <row r="232" spans="1:9" x14ac:dyDescent="0.3">
      <c r="A232" s="16">
        <v>91</v>
      </c>
      <c r="B232" s="16">
        <v>7</v>
      </c>
      <c r="C232" s="16">
        <v>2</v>
      </c>
      <c r="D232" s="17">
        <v>40000</v>
      </c>
      <c r="E232" s="17">
        <f t="shared" si="3"/>
        <v>80000</v>
      </c>
      <c r="F232" s="16" t="str">
        <f>INDEX(Products!$B$2:$B$9,MATCH(B232,Products!$A$2:$A$9,0))</f>
        <v>Digital SLR Camera</v>
      </c>
      <c r="G232" s="16" t="str">
        <f>INDEX(Products!$C$2:$C$9,MATCH(B232,Products!$A$2:$A$9,0))</f>
        <v>Photography</v>
      </c>
      <c r="H232" s="16">
        <f>INDEX(Orders!$F$2:$F$201,MATCH(A232,Orders!$A$2:$A$201,0))</f>
        <v>202402</v>
      </c>
      <c r="I232" s="16" t="str">
        <f>INDEX(Orders!$E$2:$E$201,MATCH(A232,Orders!$A$2:$A$201,0))</f>
        <v>Lucknow</v>
      </c>
    </row>
    <row r="233" spans="1:9" x14ac:dyDescent="0.3">
      <c r="A233" s="16">
        <v>92</v>
      </c>
      <c r="B233" s="16">
        <v>8</v>
      </c>
      <c r="C233" s="16">
        <v>3</v>
      </c>
      <c r="D233" s="17">
        <v>3000</v>
      </c>
      <c r="E233" s="17">
        <f t="shared" si="3"/>
        <v>9000</v>
      </c>
      <c r="F233" s="16" t="str">
        <f>INDEX(Products!$B$2:$B$9,MATCH(B233,Products!$A$2:$A$9,0))</f>
        <v>Wireless Earbuds</v>
      </c>
      <c r="G233" s="16" t="str">
        <f>INDEX(Products!$C$2:$C$9,MATCH(B233,Products!$A$2:$A$9,0))</f>
        <v>Wearable Tech</v>
      </c>
      <c r="H233" s="16">
        <f>INDEX(Orders!$F$2:$F$201,MATCH(A233,Orders!$A$2:$A$201,0))</f>
        <v>202305</v>
      </c>
      <c r="I233" s="16" t="str">
        <f>INDEX(Orders!$E$2:$E$201,MATCH(A233,Orders!$A$2:$A$201,0))</f>
        <v>Delhi</v>
      </c>
    </row>
    <row r="234" spans="1:9" x14ac:dyDescent="0.3">
      <c r="A234" s="16">
        <v>92</v>
      </c>
      <c r="B234" s="16">
        <v>8</v>
      </c>
      <c r="C234" s="16">
        <v>2</v>
      </c>
      <c r="D234" s="17">
        <v>3000</v>
      </c>
      <c r="E234" s="17">
        <f t="shared" si="3"/>
        <v>6000</v>
      </c>
      <c r="F234" s="16" t="str">
        <f>INDEX(Products!$B$2:$B$9,MATCH(B234,Products!$A$2:$A$9,0))</f>
        <v>Wireless Earbuds</v>
      </c>
      <c r="G234" s="16" t="str">
        <f>INDEX(Products!$C$2:$C$9,MATCH(B234,Products!$A$2:$A$9,0))</f>
        <v>Wearable Tech</v>
      </c>
      <c r="H234" s="16">
        <f>INDEX(Orders!$F$2:$F$201,MATCH(A234,Orders!$A$2:$A$201,0))</f>
        <v>202305</v>
      </c>
      <c r="I234" s="16" t="str">
        <f>INDEX(Orders!$E$2:$E$201,MATCH(A234,Orders!$A$2:$A$201,0))</f>
        <v>Delhi</v>
      </c>
    </row>
    <row r="235" spans="1:9" x14ac:dyDescent="0.3">
      <c r="A235" s="16">
        <v>93</v>
      </c>
      <c r="B235" s="16">
        <v>7</v>
      </c>
      <c r="C235" s="16">
        <v>2</v>
      </c>
      <c r="D235" s="17">
        <v>40000</v>
      </c>
      <c r="E235" s="17">
        <f t="shared" si="3"/>
        <v>80000</v>
      </c>
      <c r="F235" s="16" t="str">
        <f>INDEX(Products!$B$2:$B$9,MATCH(B235,Products!$A$2:$A$9,0))</f>
        <v>Digital SLR Camera</v>
      </c>
      <c r="G235" s="16" t="str">
        <f>INDEX(Products!$C$2:$C$9,MATCH(B235,Products!$A$2:$A$9,0))</f>
        <v>Photography</v>
      </c>
      <c r="H235" s="16">
        <f>INDEX(Orders!$F$2:$F$201,MATCH(A235,Orders!$A$2:$A$201,0))</f>
        <v>202303</v>
      </c>
      <c r="I235" s="16" t="str">
        <f>INDEX(Orders!$E$2:$E$201,MATCH(A235,Orders!$A$2:$A$201,0))</f>
        <v>Hyderabad</v>
      </c>
    </row>
    <row r="236" spans="1:9" x14ac:dyDescent="0.3">
      <c r="A236" s="16">
        <v>94</v>
      </c>
      <c r="B236" s="16">
        <v>5</v>
      </c>
      <c r="C236" s="16">
        <v>2</v>
      </c>
      <c r="D236" s="17">
        <v>5000</v>
      </c>
      <c r="E236" s="17">
        <f t="shared" si="3"/>
        <v>10000</v>
      </c>
      <c r="F236" s="16" t="str">
        <f>INDEX(Products!$B$2:$B$9,MATCH(B236,Products!$A$2:$A$9,0))</f>
        <v>Smartwatch Fitness Tracker</v>
      </c>
      <c r="G236" s="16" t="str">
        <f>INDEX(Products!$C$2:$C$9,MATCH(B236,Products!$A$2:$A$9,0))</f>
        <v>Wearable Tech</v>
      </c>
      <c r="H236" s="16">
        <f>INDEX(Orders!$F$2:$F$201,MATCH(A236,Orders!$A$2:$A$201,0))</f>
        <v>202310</v>
      </c>
      <c r="I236" s="16" t="str">
        <f>INDEX(Orders!$E$2:$E$201,MATCH(A236,Orders!$A$2:$A$201,0))</f>
        <v>Delhi</v>
      </c>
    </row>
    <row r="237" spans="1:9" x14ac:dyDescent="0.3">
      <c r="A237" s="16">
        <v>94</v>
      </c>
      <c r="B237" s="16">
        <v>6</v>
      </c>
      <c r="C237" s="16">
        <v>3</v>
      </c>
      <c r="D237" s="17">
        <v>7000</v>
      </c>
      <c r="E237" s="17">
        <f t="shared" si="3"/>
        <v>21000</v>
      </c>
      <c r="F237" s="16" t="str">
        <f>INDEX(Products!$B$2:$B$9,MATCH(B237,Products!$A$2:$A$9,0))</f>
        <v>Portable Bluetooth Speaker</v>
      </c>
      <c r="G237" s="16" t="str">
        <f>INDEX(Products!$C$2:$C$9,MATCH(B237,Products!$A$2:$A$9,0))</f>
        <v>Electronics</v>
      </c>
      <c r="H237" s="16">
        <f>INDEX(Orders!$F$2:$F$201,MATCH(A237,Orders!$A$2:$A$201,0))</f>
        <v>202310</v>
      </c>
      <c r="I237" s="16" t="str">
        <f>INDEX(Orders!$E$2:$E$201,MATCH(A237,Orders!$A$2:$A$201,0))</f>
        <v>Delhi</v>
      </c>
    </row>
    <row r="238" spans="1:9" x14ac:dyDescent="0.3">
      <c r="A238" s="16">
        <v>94</v>
      </c>
      <c r="B238" s="16">
        <v>6</v>
      </c>
      <c r="C238" s="16">
        <v>3</v>
      </c>
      <c r="D238" s="17">
        <v>7000</v>
      </c>
      <c r="E238" s="17">
        <f t="shared" si="3"/>
        <v>21000</v>
      </c>
      <c r="F238" s="16" t="str">
        <f>INDEX(Products!$B$2:$B$9,MATCH(B238,Products!$A$2:$A$9,0))</f>
        <v>Portable Bluetooth Speaker</v>
      </c>
      <c r="G238" s="16" t="str">
        <f>INDEX(Products!$C$2:$C$9,MATCH(B238,Products!$A$2:$A$9,0))</f>
        <v>Electronics</v>
      </c>
      <c r="H238" s="16">
        <f>INDEX(Orders!$F$2:$F$201,MATCH(A238,Orders!$A$2:$A$201,0))</f>
        <v>202310</v>
      </c>
      <c r="I238" s="16" t="str">
        <f>INDEX(Orders!$E$2:$E$201,MATCH(A238,Orders!$A$2:$A$201,0))</f>
        <v>Delhi</v>
      </c>
    </row>
    <row r="239" spans="1:9" x14ac:dyDescent="0.3">
      <c r="A239" s="16">
        <v>94</v>
      </c>
      <c r="B239" s="16">
        <v>5</v>
      </c>
      <c r="C239" s="16">
        <v>3</v>
      </c>
      <c r="D239" s="17">
        <v>5000</v>
      </c>
      <c r="E239" s="17">
        <f t="shared" si="3"/>
        <v>15000</v>
      </c>
      <c r="F239" s="16" t="str">
        <f>INDEX(Products!$B$2:$B$9,MATCH(B239,Products!$A$2:$A$9,0))</f>
        <v>Smartwatch Fitness Tracker</v>
      </c>
      <c r="G239" s="16" t="str">
        <f>INDEX(Products!$C$2:$C$9,MATCH(B239,Products!$A$2:$A$9,0))</f>
        <v>Wearable Tech</v>
      </c>
      <c r="H239" s="16">
        <f>INDEX(Orders!$F$2:$F$201,MATCH(A239,Orders!$A$2:$A$201,0))</f>
        <v>202310</v>
      </c>
      <c r="I239" s="16" t="str">
        <f>INDEX(Orders!$E$2:$E$201,MATCH(A239,Orders!$A$2:$A$201,0))</f>
        <v>Delhi</v>
      </c>
    </row>
    <row r="240" spans="1:9" x14ac:dyDescent="0.3">
      <c r="A240" s="16">
        <v>95</v>
      </c>
      <c r="B240" s="16">
        <v>7</v>
      </c>
      <c r="C240" s="16">
        <v>1</v>
      </c>
      <c r="D240" s="17">
        <v>40000</v>
      </c>
      <c r="E240" s="17">
        <f t="shared" si="3"/>
        <v>40000</v>
      </c>
      <c r="F240" s="16" t="str">
        <f>INDEX(Products!$B$2:$B$9,MATCH(B240,Products!$A$2:$A$9,0))</f>
        <v>Digital SLR Camera</v>
      </c>
      <c r="G240" s="16" t="str">
        <f>INDEX(Products!$C$2:$C$9,MATCH(B240,Products!$A$2:$A$9,0))</f>
        <v>Photography</v>
      </c>
      <c r="H240" s="16">
        <f>INDEX(Orders!$F$2:$F$201,MATCH(A240,Orders!$A$2:$A$201,0))</f>
        <v>202312</v>
      </c>
      <c r="I240" s="16" t="str">
        <f>INDEX(Orders!$E$2:$E$201,MATCH(A240,Orders!$A$2:$A$201,0))</f>
        <v>Bangalore</v>
      </c>
    </row>
    <row r="241" spans="1:9" x14ac:dyDescent="0.3">
      <c r="A241" s="16">
        <v>96</v>
      </c>
      <c r="B241" s="16">
        <v>2</v>
      </c>
      <c r="C241" s="16">
        <v>3</v>
      </c>
      <c r="D241" s="17">
        <v>60000</v>
      </c>
      <c r="E241" s="17">
        <f t="shared" si="3"/>
        <v>180000</v>
      </c>
      <c r="F241" s="16" t="str">
        <f>INDEX(Products!$B$2:$B$9,MATCH(B241,Products!$A$2:$A$9,0))</f>
        <v>Laptop 15" Pro</v>
      </c>
      <c r="G241" s="16" t="str">
        <f>INDEX(Products!$C$2:$C$9,MATCH(B241,Products!$A$2:$A$9,0))</f>
        <v>Electronics</v>
      </c>
      <c r="H241" s="16">
        <f>INDEX(Orders!$F$2:$F$201,MATCH(A241,Orders!$A$2:$A$201,0))</f>
        <v>202311</v>
      </c>
      <c r="I241" s="16" t="str">
        <f>INDEX(Orders!$E$2:$E$201,MATCH(A241,Orders!$A$2:$A$201,0))</f>
        <v>Kolkata</v>
      </c>
    </row>
    <row r="242" spans="1:9" x14ac:dyDescent="0.3">
      <c r="A242" s="16">
        <v>97</v>
      </c>
      <c r="B242" s="16">
        <v>2</v>
      </c>
      <c r="C242" s="16">
        <v>1</v>
      </c>
      <c r="D242" s="17">
        <v>60000</v>
      </c>
      <c r="E242" s="17">
        <f t="shared" si="3"/>
        <v>60000</v>
      </c>
      <c r="F242" s="16" t="str">
        <f>INDEX(Products!$B$2:$B$9,MATCH(B242,Products!$A$2:$A$9,0))</f>
        <v>Laptop 15" Pro</v>
      </c>
      <c r="G242" s="16" t="str">
        <f>INDEX(Products!$C$2:$C$9,MATCH(B242,Products!$A$2:$A$9,0))</f>
        <v>Electronics</v>
      </c>
      <c r="H242" s="16">
        <f>INDEX(Orders!$F$2:$F$201,MATCH(A242,Orders!$A$2:$A$201,0))</f>
        <v>202308</v>
      </c>
      <c r="I242" s="16" t="str">
        <f>INDEX(Orders!$E$2:$E$201,MATCH(A242,Orders!$A$2:$A$201,0))</f>
        <v>Mumbai</v>
      </c>
    </row>
    <row r="243" spans="1:9" x14ac:dyDescent="0.3">
      <c r="A243" s="16">
        <v>97</v>
      </c>
      <c r="B243" s="16">
        <v>3</v>
      </c>
      <c r="C243" s="16">
        <v>3</v>
      </c>
      <c r="D243" s="17">
        <v>8000</v>
      </c>
      <c r="E243" s="17">
        <f t="shared" si="3"/>
        <v>24000</v>
      </c>
      <c r="F243" s="16" t="str">
        <f>INDEX(Products!$B$2:$B$9,MATCH(B243,Products!$A$2:$A$9,0))</f>
        <v>Bluetooth Headphones</v>
      </c>
      <c r="G243" s="16" t="str">
        <f>INDEX(Products!$C$2:$C$9,MATCH(B243,Products!$A$2:$A$9,0))</f>
        <v>Electronics</v>
      </c>
      <c r="H243" s="16">
        <f>INDEX(Orders!$F$2:$F$201,MATCH(A243,Orders!$A$2:$A$201,0))</f>
        <v>202308</v>
      </c>
      <c r="I243" s="16" t="str">
        <f>INDEX(Orders!$E$2:$E$201,MATCH(A243,Orders!$A$2:$A$201,0))</f>
        <v>Mumbai</v>
      </c>
    </row>
    <row r="244" spans="1:9" x14ac:dyDescent="0.3">
      <c r="A244" s="16">
        <v>98</v>
      </c>
      <c r="B244" s="16">
        <v>2</v>
      </c>
      <c r="C244" s="16">
        <v>2</v>
      </c>
      <c r="D244" s="17">
        <v>60000</v>
      </c>
      <c r="E244" s="17">
        <f t="shared" si="3"/>
        <v>120000</v>
      </c>
      <c r="F244" s="16" t="str">
        <f>INDEX(Products!$B$2:$B$9,MATCH(B244,Products!$A$2:$A$9,0))</f>
        <v>Laptop 15" Pro</v>
      </c>
      <c r="G244" s="16" t="str">
        <f>INDEX(Products!$C$2:$C$9,MATCH(B244,Products!$A$2:$A$9,0))</f>
        <v>Electronics</v>
      </c>
      <c r="H244" s="16">
        <f>INDEX(Orders!$F$2:$F$201,MATCH(A244,Orders!$A$2:$A$201,0))</f>
        <v>202312</v>
      </c>
      <c r="I244" s="16" t="str">
        <f>INDEX(Orders!$E$2:$E$201,MATCH(A244,Orders!$A$2:$A$201,0))</f>
        <v>Jaipur</v>
      </c>
    </row>
    <row r="245" spans="1:9" x14ac:dyDescent="0.3">
      <c r="A245" s="16">
        <v>98</v>
      </c>
      <c r="B245" s="16">
        <v>4</v>
      </c>
      <c r="C245" s="16">
        <v>2</v>
      </c>
      <c r="D245" s="17">
        <v>12000</v>
      </c>
      <c r="E245" s="17">
        <f t="shared" si="3"/>
        <v>24000</v>
      </c>
      <c r="F245" s="16" t="str">
        <f>INDEX(Products!$B$2:$B$9,MATCH(B245,Products!$A$2:$A$9,0))</f>
        <v>E-Book Reader</v>
      </c>
      <c r="G245" s="16" t="str">
        <f>INDEX(Products!$C$2:$C$9,MATCH(B245,Products!$A$2:$A$9,0))</f>
        <v>Electronics</v>
      </c>
      <c r="H245" s="16">
        <f>INDEX(Orders!$F$2:$F$201,MATCH(A245,Orders!$A$2:$A$201,0))</f>
        <v>202312</v>
      </c>
      <c r="I245" s="16" t="str">
        <f>INDEX(Orders!$E$2:$E$201,MATCH(A245,Orders!$A$2:$A$201,0))</f>
        <v>Jaipur</v>
      </c>
    </row>
    <row r="246" spans="1:9" x14ac:dyDescent="0.3">
      <c r="A246" s="16">
        <v>99</v>
      </c>
      <c r="B246" s="16">
        <v>8</v>
      </c>
      <c r="C246" s="16">
        <v>3</v>
      </c>
      <c r="D246" s="17">
        <v>3000</v>
      </c>
      <c r="E246" s="17">
        <f t="shared" si="3"/>
        <v>9000</v>
      </c>
      <c r="F246" s="16" t="str">
        <f>INDEX(Products!$B$2:$B$9,MATCH(B246,Products!$A$2:$A$9,0))</f>
        <v>Wireless Earbuds</v>
      </c>
      <c r="G246" s="16" t="str">
        <f>INDEX(Products!$C$2:$C$9,MATCH(B246,Products!$A$2:$A$9,0))</f>
        <v>Wearable Tech</v>
      </c>
      <c r="H246" s="16">
        <f>INDEX(Orders!$F$2:$F$201,MATCH(A246,Orders!$A$2:$A$201,0))</f>
        <v>202303</v>
      </c>
      <c r="I246" s="16" t="str">
        <f>INDEX(Orders!$E$2:$E$201,MATCH(A246,Orders!$A$2:$A$201,0))</f>
        <v>Kolkata</v>
      </c>
    </row>
    <row r="247" spans="1:9" x14ac:dyDescent="0.3">
      <c r="A247" s="16">
        <v>99</v>
      </c>
      <c r="B247" s="16">
        <v>2</v>
      </c>
      <c r="C247" s="16">
        <v>3</v>
      </c>
      <c r="D247" s="17">
        <v>60000</v>
      </c>
      <c r="E247" s="17">
        <f t="shared" si="3"/>
        <v>180000</v>
      </c>
      <c r="F247" s="16" t="str">
        <f>INDEX(Products!$B$2:$B$9,MATCH(B247,Products!$A$2:$A$9,0))</f>
        <v>Laptop 15" Pro</v>
      </c>
      <c r="G247" s="16" t="str">
        <f>INDEX(Products!$C$2:$C$9,MATCH(B247,Products!$A$2:$A$9,0))</f>
        <v>Electronics</v>
      </c>
      <c r="H247" s="16">
        <f>INDEX(Orders!$F$2:$F$201,MATCH(A247,Orders!$A$2:$A$201,0))</f>
        <v>202303</v>
      </c>
      <c r="I247" s="16" t="str">
        <f>INDEX(Orders!$E$2:$E$201,MATCH(A247,Orders!$A$2:$A$201,0))</f>
        <v>Kolkata</v>
      </c>
    </row>
    <row r="248" spans="1:9" x14ac:dyDescent="0.3">
      <c r="A248" s="16">
        <v>99</v>
      </c>
      <c r="B248" s="16">
        <v>8</v>
      </c>
      <c r="C248" s="16">
        <v>1</v>
      </c>
      <c r="D248" s="17">
        <v>3000</v>
      </c>
      <c r="E248" s="17">
        <f t="shared" si="3"/>
        <v>3000</v>
      </c>
      <c r="F248" s="16" t="str">
        <f>INDEX(Products!$B$2:$B$9,MATCH(B248,Products!$A$2:$A$9,0))</f>
        <v>Wireless Earbuds</v>
      </c>
      <c r="G248" s="16" t="str">
        <f>INDEX(Products!$C$2:$C$9,MATCH(B248,Products!$A$2:$A$9,0))</f>
        <v>Wearable Tech</v>
      </c>
      <c r="H248" s="16">
        <f>INDEX(Orders!$F$2:$F$201,MATCH(A248,Orders!$A$2:$A$201,0))</f>
        <v>202303</v>
      </c>
      <c r="I248" s="16" t="str">
        <f>INDEX(Orders!$E$2:$E$201,MATCH(A248,Orders!$A$2:$A$201,0))</f>
        <v>Kolkata</v>
      </c>
    </row>
    <row r="249" spans="1:9" x14ac:dyDescent="0.3">
      <c r="A249" s="16">
        <v>100</v>
      </c>
      <c r="B249" s="16">
        <v>2</v>
      </c>
      <c r="C249" s="16">
        <v>1</v>
      </c>
      <c r="D249" s="17">
        <v>60000</v>
      </c>
      <c r="E249" s="17">
        <f t="shared" si="3"/>
        <v>60000</v>
      </c>
      <c r="F249" s="16" t="str">
        <f>INDEX(Products!$B$2:$B$9,MATCH(B249,Products!$A$2:$A$9,0))</f>
        <v>Laptop 15" Pro</v>
      </c>
      <c r="G249" s="16" t="str">
        <f>INDEX(Products!$C$2:$C$9,MATCH(B249,Products!$A$2:$A$9,0))</f>
        <v>Electronics</v>
      </c>
      <c r="H249" s="16">
        <f>INDEX(Orders!$F$2:$F$201,MATCH(A249,Orders!$A$2:$A$201,0))</f>
        <v>202304</v>
      </c>
      <c r="I249" s="16" t="str">
        <f>INDEX(Orders!$E$2:$E$201,MATCH(A249,Orders!$A$2:$A$201,0))</f>
        <v>Kolkata</v>
      </c>
    </row>
    <row r="250" spans="1:9" x14ac:dyDescent="0.3">
      <c r="A250" s="16">
        <v>100</v>
      </c>
      <c r="B250" s="16">
        <v>4</v>
      </c>
      <c r="C250" s="16">
        <v>2</v>
      </c>
      <c r="D250" s="17">
        <v>12000</v>
      </c>
      <c r="E250" s="17">
        <f t="shared" si="3"/>
        <v>24000</v>
      </c>
      <c r="F250" s="16" t="str">
        <f>INDEX(Products!$B$2:$B$9,MATCH(B250,Products!$A$2:$A$9,0))</f>
        <v>E-Book Reader</v>
      </c>
      <c r="G250" s="16" t="str">
        <f>INDEX(Products!$C$2:$C$9,MATCH(B250,Products!$A$2:$A$9,0))</f>
        <v>Electronics</v>
      </c>
      <c r="H250" s="16">
        <f>INDEX(Orders!$F$2:$F$201,MATCH(A250,Orders!$A$2:$A$201,0))</f>
        <v>202304</v>
      </c>
      <c r="I250" s="16" t="str">
        <f>INDEX(Orders!$E$2:$E$201,MATCH(A250,Orders!$A$2:$A$201,0))</f>
        <v>Kolkata</v>
      </c>
    </row>
    <row r="251" spans="1:9" x14ac:dyDescent="0.3">
      <c r="A251" s="16">
        <v>100</v>
      </c>
      <c r="B251" s="16">
        <v>3</v>
      </c>
      <c r="C251" s="16">
        <v>2</v>
      </c>
      <c r="D251" s="17">
        <v>8000</v>
      </c>
      <c r="E251" s="17">
        <f t="shared" si="3"/>
        <v>16000</v>
      </c>
      <c r="F251" s="16" t="str">
        <f>INDEX(Products!$B$2:$B$9,MATCH(B251,Products!$A$2:$A$9,0))</f>
        <v>Bluetooth Headphones</v>
      </c>
      <c r="G251" s="16" t="str">
        <f>INDEX(Products!$C$2:$C$9,MATCH(B251,Products!$A$2:$A$9,0))</f>
        <v>Electronics</v>
      </c>
      <c r="H251" s="16">
        <f>INDEX(Orders!$F$2:$F$201,MATCH(A251,Orders!$A$2:$A$201,0))</f>
        <v>202304</v>
      </c>
      <c r="I251" s="16" t="str">
        <f>INDEX(Orders!$E$2:$E$201,MATCH(A251,Orders!$A$2:$A$201,0))</f>
        <v>Kolkata</v>
      </c>
    </row>
    <row r="252" spans="1:9" x14ac:dyDescent="0.3">
      <c r="A252" s="16">
        <v>100</v>
      </c>
      <c r="B252" s="16">
        <v>3</v>
      </c>
      <c r="C252" s="16">
        <v>3</v>
      </c>
      <c r="D252" s="17">
        <v>8000</v>
      </c>
      <c r="E252" s="17">
        <f t="shared" si="3"/>
        <v>24000</v>
      </c>
      <c r="F252" s="16" t="str">
        <f>INDEX(Products!$B$2:$B$9,MATCH(B252,Products!$A$2:$A$9,0))</f>
        <v>Bluetooth Headphones</v>
      </c>
      <c r="G252" s="16" t="str">
        <f>INDEX(Products!$C$2:$C$9,MATCH(B252,Products!$A$2:$A$9,0))</f>
        <v>Electronics</v>
      </c>
      <c r="H252" s="16">
        <f>INDEX(Orders!$F$2:$F$201,MATCH(A252,Orders!$A$2:$A$201,0))</f>
        <v>202304</v>
      </c>
      <c r="I252" s="16" t="str">
        <f>INDEX(Orders!$E$2:$E$201,MATCH(A252,Orders!$A$2:$A$201,0))</f>
        <v>Kolkata</v>
      </c>
    </row>
    <row r="253" spans="1:9" x14ac:dyDescent="0.3">
      <c r="A253" s="16">
        <v>101</v>
      </c>
      <c r="B253" s="16">
        <v>3</v>
      </c>
      <c r="C253" s="16">
        <v>1</v>
      </c>
      <c r="D253" s="17">
        <v>8000</v>
      </c>
      <c r="E253" s="17">
        <f t="shared" si="3"/>
        <v>8000</v>
      </c>
      <c r="F253" s="16" t="str">
        <f>INDEX(Products!$B$2:$B$9,MATCH(B253,Products!$A$2:$A$9,0))</f>
        <v>Bluetooth Headphones</v>
      </c>
      <c r="G253" s="16" t="str">
        <f>INDEX(Products!$C$2:$C$9,MATCH(B253,Products!$A$2:$A$9,0))</f>
        <v>Electronics</v>
      </c>
      <c r="H253" s="16">
        <f>INDEX(Orders!$F$2:$F$201,MATCH(A253,Orders!$A$2:$A$201,0))</f>
        <v>202402</v>
      </c>
      <c r="I253" s="16" t="str">
        <f>INDEX(Orders!$E$2:$E$201,MATCH(A253,Orders!$A$2:$A$201,0))</f>
        <v>Delhi</v>
      </c>
    </row>
    <row r="254" spans="1:9" x14ac:dyDescent="0.3">
      <c r="A254" s="16">
        <v>101</v>
      </c>
      <c r="B254" s="16">
        <v>8</v>
      </c>
      <c r="C254" s="16">
        <v>2</v>
      </c>
      <c r="D254" s="17">
        <v>3000</v>
      </c>
      <c r="E254" s="17">
        <f t="shared" si="3"/>
        <v>6000</v>
      </c>
      <c r="F254" s="16" t="str">
        <f>INDEX(Products!$B$2:$B$9,MATCH(B254,Products!$A$2:$A$9,0))</f>
        <v>Wireless Earbuds</v>
      </c>
      <c r="G254" s="16" t="str">
        <f>INDEX(Products!$C$2:$C$9,MATCH(B254,Products!$A$2:$A$9,0))</f>
        <v>Wearable Tech</v>
      </c>
      <c r="H254" s="16">
        <f>INDEX(Orders!$F$2:$F$201,MATCH(A254,Orders!$A$2:$A$201,0))</f>
        <v>202402</v>
      </c>
      <c r="I254" s="16" t="str">
        <f>INDEX(Orders!$E$2:$E$201,MATCH(A254,Orders!$A$2:$A$201,0))</f>
        <v>Delhi</v>
      </c>
    </row>
    <row r="255" spans="1:9" x14ac:dyDescent="0.3">
      <c r="A255" s="16">
        <v>101</v>
      </c>
      <c r="B255" s="16">
        <v>5</v>
      </c>
      <c r="C255" s="16">
        <v>2</v>
      </c>
      <c r="D255" s="17">
        <v>5000</v>
      </c>
      <c r="E255" s="17">
        <f t="shared" si="3"/>
        <v>10000</v>
      </c>
      <c r="F255" s="16" t="str">
        <f>INDEX(Products!$B$2:$B$9,MATCH(B255,Products!$A$2:$A$9,0))</f>
        <v>Smartwatch Fitness Tracker</v>
      </c>
      <c r="G255" s="16" t="str">
        <f>INDEX(Products!$C$2:$C$9,MATCH(B255,Products!$A$2:$A$9,0))</f>
        <v>Wearable Tech</v>
      </c>
      <c r="H255" s="16">
        <f>INDEX(Orders!$F$2:$F$201,MATCH(A255,Orders!$A$2:$A$201,0))</f>
        <v>202402</v>
      </c>
      <c r="I255" s="16" t="str">
        <f>INDEX(Orders!$E$2:$E$201,MATCH(A255,Orders!$A$2:$A$201,0))</f>
        <v>Delhi</v>
      </c>
    </row>
    <row r="256" spans="1:9" x14ac:dyDescent="0.3">
      <c r="A256" s="16">
        <v>102</v>
      </c>
      <c r="B256" s="16">
        <v>4</v>
      </c>
      <c r="C256" s="16">
        <v>1</v>
      </c>
      <c r="D256" s="17">
        <v>12000</v>
      </c>
      <c r="E256" s="17">
        <f t="shared" si="3"/>
        <v>12000</v>
      </c>
      <c r="F256" s="16" t="str">
        <f>INDEX(Products!$B$2:$B$9,MATCH(B256,Products!$A$2:$A$9,0))</f>
        <v>E-Book Reader</v>
      </c>
      <c r="G256" s="16" t="str">
        <f>INDEX(Products!$C$2:$C$9,MATCH(B256,Products!$A$2:$A$9,0))</f>
        <v>Electronics</v>
      </c>
      <c r="H256" s="16">
        <f>INDEX(Orders!$F$2:$F$201,MATCH(A256,Orders!$A$2:$A$201,0))</f>
        <v>202304</v>
      </c>
      <c r="I256" s="16" t="str">
        <f>INDEX(Orders!$E$2:$E$201,MATCH(A256,Orders!$A$2:$A$201,0))</f>
        <v>Delhi</v>
      </c>
    </row>
    <row r="257" spans="1:9" x14ac:dyDescent="0.3">
      <c r="A257" s="16">
        <v>102</v>
      </c>
      <c r="B257" s="16">
        <v>8</v>
      </c>
      <c r="C257" s="16">
        <v>3</v>
      </c>
      <c r="D257" s="17">
        <v>3000</v>
      </c>
      <c r="E257" s="17">
        <f t="shared" si="3"/>
        <v>9000</v>
      </c>
      <c r="F257" s="16" t="str">
        <f>INDEX(Products!$B$2:$B$9,MATCH(B257,Products!$A$2:$A$9,0))</f>
        <v>Wireless Earbuds</v>
      </c>
      <c r="G257" s="16" t="str">
        <f>INDEX(Products!$C$2:$C$9,MATCH(B257,Products!$A$2:$A$9,0))</f>
        <v>Wearable Tech</v>
      </c>
      <c r="H257" s="16">
        <f>INDEX(Orders!$F$2:$F$201,MATCH(A257,Orders!$A$2:$A$201,0))</f>
        <v>202304</v>
      </c>
      <c r="I257" s="16" t="str">
        <f>INDEX(Orders!$E$2:$E$201,MATCH(A257,Orders!$A$2:$A$201,0))</f>
        <v>Delhi</v>
      </c>
    </row>
    <row r="258" spans="1:9" x14ac:dyDescent="0.3">
      <c r="A258" s="16">
        <v>103</v>
      </c>
      <c r="B258" s="16">
        <v>4</v>
      </c>
      <c r="C258" s="16">
        <v>2</v>
      </c>
      <c r="D258" s="17">
        <v>12000</v>
      </c>
      <c r="E258" s="17">
        <f t="shared" ref="E258:E321" si="4">C258*D258</f>
        <v>24000</v>
      </c>
      <c r="F258" s="16" t="str">
        <f>INDEX(Products!$B$2:$B$9,MATCH(B258,Products!$A$2:$A$9,0))</f>
        <v>E-Book Reader</v>
      </c>
      <c r="G258" s="16" t="str">
        <f>INDEX(Products!$C$2:$C$9,MATCH(B258,Products!$A$2:$A$9,0))</f>
        <v>Electronics</v>
      </c>
      <c r="H258" s="16">
        <f>INDEX(Orders!$F$2:$F$201,MATCH(A258,Orders!$A$2:$A$201,0))</f>
        <v>202402</v>
      </c>
      <c r="I258" s="16" t="str">
        <f>INDEX(Orders!$E$2:$E$201,MATCH(A258,Orders!$A$2:$A$201,0))</f>
        <v>Lucknow</v>
      </c>
    </row>
    <row r="259" spans="1:9" x14ac:dyDescent="0.3">
      <c r="A259" s="16">
        <v>103</v>
      </c>
      <c r="B259" s="16">
        <v>4</v>
      </c>
      <c r="C259" s="16">
        <v>2</v>
      </c>
      <c r="D259" s="17">
        <v>12000</v>
      </c>
      <c r="E259" s="17">
        <f t="shared" si="4"/>
        <v>24000</v>
      </c>
      <c r="F259" s="16" t="str">
        <f>INDEX(Products!$B$2:$B$9,MATCH(B259,Products!$A$2:$A$9,0))</f>
        <v>E-Book Reader</v>
      </c>
      <c r="G259" s="16" t="str">
        <f>INDEX(Products!$C$2:$C$9,MATCH(B259,Products!$A$2:$A$9,0))</f>
        <v>Electronics</v>
      </c>
      <c r="H259" s="16">
        <f>INDEX(Orders!$F$2:$F$201,MATCH(A259,Orders!$A$2:$A$201,0))</f>
        <v>202402</v>
      </c>
      <c r="I259" s="16" t="str">
        <f>INDEX(Orders!$E$2:$E$201,MATCH(A259,Orders!$A$2:$A$201,0))</f>
        <v>Lucknow</v>
      </c>
    </row>
    <row r="260" spans="1:9" x14ac:dyDescent="0.3">
      <c r="A260" s="16">
        <v>103</v>
      </c>
      <c r="B260" s="16">
        <v>8</v>
      </c>
      <c r="C260" s="16">
        <v>3</v>
      </c>
      <c r="D260" s="17">
        <v>3000</v>
      </c>
      <c r="E260" s="17">
        <f t="shared" si="4"/>
        <v>9000</v>
      </c>
      <c r="F260" s="16" t="str">
        <f>INDEX(Products!$B$2:$B$9,MATCH(B260,Products!$A$2:$A$9,0))</f>
        <v>Wireless Earbuds</v>
      </c>
      <c r="G260" s="16" t="str">
        <f>INDEX(Products!$C$2:$C$9,MATCH(B260,Products!$A$2:$A$9,0))</f>
        <v>Wearable Tech</v>
      </c>
      <c r="H260" s="16">
        <f>INDEX(Orders!$F$2:$F$201,MATCH(A260,Orders!$A$2:$A$201,0))</f>
        <v>202402</v>
      </c>
      <c r="I260" s="16" t="str">
        <f>INDEX(Orders!$E$2:$E$201,MATCH(A260,Orders!$A$2:$A$201,0))</f>
        <v>Lucknow</v>
      </c>
    </row>
    <row r="261" spans="1:9" x14ac:dyDescent="0.3">
      <c r="A261" s="16">
        <v>104</v>
      </c>
      <c r="B261" s="16">
        <v>8</v>
      </c>
      <c r="C261" s="16">
        <v>3</v>
      </c>
      <c r="D261" s="17">
        <v>3000</v>
      </c>
      <c r="E261" s="17">
        <f t="shared" si="4"/>
        <v>9000</v>
      </c>
      <c r="F261" s="16" t="str">
        <f>INDEX(Products!$B$2:$B$9,MATCH(B261,Products!$A$2:$A$9,0))</f>
        <v>Wireless Earbuds</v>
      </c>
      <c r="G261" s="16" t="str">
        <f>INDEX(Products!$C$2:$C$9,MATCH(B261,Products!$A$2:$A$9,0))</f>
        <v>Wearable Tech</v>
      </c>
      <c r="H261" s="16">
        <f>INDEX(Orders!$F$2:$F$201,MATCH(A261,Orders!$A$2:$A$201,0))</f>
        <v>202309</v>
      </c>
      <c r="I261" s="16" t="str">
        <f>INDEX(Orders!$E$2:$E$201,MATCH(A261,Orders!$A$2:$A$201,0))</f>
        <v>Pune</v>
      </c>
    </row>
    <row r="262" spans="1:9" x14ac:dyDescent="0.3">
      <c r="A262" s="16">
        <v>104</v>
      </c>
      <c r="B262" s="16">
        <v>3</v>
      </c>
      <c r="C262" s="16">
        <v>2</v>
      </c>
      <c r="D262" s="17">
        <v>8000</v>
      </c>
      <c r="E262" s="17">
        <f t="shared" si="4"/>
        <v>16000</v>
      </c>
      <c r="F262" s="16" t="str">
        <f>INDEX(Products!$B$2:$B$9,MATCH(B262,Products!$A$2:$A$9,0))</f>
        <v>Bluetooth Headphones</v>
      </c>
      <c r="G262" s="16" t="str">
        <f>INDEX(Products!$C$2:$C$9,MATCH(B262,Products!$A$2:$A$9,0))</f>
        <v>Electronics</v>
      </c>
      <c r="H262" s="16">
        <f>INDEX(Orders!$F$2:$F$201,MATCH(A262,Orders!$A$2:$A$201,0))</f>
        <v>202309</v>
      </c>
      <c r="I262" s="16" t="str">
        <f>INDEX(Orders!$E$2:$E$201,MATCH(A262,Orders!$A$2:$A$201,0))</f>
        <v>Pune</v>
      </c>
    </row>
    <row r="263" spans="1:9" x14ac:dyDescent="0.3">
      <c r="A263" s="16">
        <v>104</v>
      </c>
      <c r="B263" s="16">
        <v>4</v>
      </c>
      <c r="C263" s="16">
        <v>1</v>
      </c>
      <c r="D263" s="17">
        <v>12000</v>
      </c>
      <c r="E263" s="17">
        <f t="shared" si="4"/>
        <v>12000</v>
      </c>
      <c r="F263" s="16" t="str">
        <f>INDEX(Products!$B$2:$B$9,MATCH(B263,Products!$A$2:$A$9,0))</f>
        <v>E-Book Reader</v>
      </c>
      <c r="G263" s="16" t="str">
        <f>INDEX(Products!$C$2:$C$9,MATCH(B263,Products!$A$2:$A$9,0))</f>
        <v>Electronics</v>
      </c>
      <c r="H263" s="16">
        <f>INDEX(Orders!$F$2:$F$201,MATCH(A263,Orders!$A$2:$A$201,0))</f>
        <v>202309</v>
      </c>
      <c r="I263" s="16" t="str">
        <f>INDEX(Orders!$E$2:$E$201,MATCH(A263,Orders!$A$2:$A$201,0))</f>
        <v>Pune</v>
      </c>
    </row>
    <row r="264" spans="1:9" x14ac:dyDescent="0.3">
      <c r="A264" s="16">
        <v>105</v>
      </c>
      <c r="B264" s="16">
        <v>3</v>
      </c>
      <c r="C264" s="16">
        <v>2</v>
      </c>
      <c r="D264" s="17">
        <v>8000</v>
      </c>
      <c r="E264" s="17">
        <f t="shared" si="4"/>
        <v>16000</v>
      </c>
      <c r="F264" s="16" t="str">
        <f>INDEX(Products!$B$2:$B$9,MATCH(B264,Products!$A$2:$A$9,0))</f>
        <v>Bluetooth Headphones</v>
      </c>
      <c r="G264" s="16" t="str">
        <f>INDEX(Products!$C$2:$C$9,MATCH(B264,Products!$A$2:$A$9,0))</f>
        <v>Electronics</v>
      </c>
      <c r="H264" s="16">
        <f>INDEX(Orders!$F$2:$F$201,MATCH(A264,Orders!$A$2:$A$201,0))</f>
        <v>202307</v>
      </c>
      <c r="I264" s="16" t="str">
        <f>INDEX(Orders!$E$2:$E$201,MATCH(A264,Orders!$A$2:$A$201,0))</f>
        <v>Chennai</v>
      </c>
    </row>
    <row r="265" spans="1:9" x14ac:dyDescent="0.3">
      <c r="A265" s="16">
        <v>105</v>
      </c>
      <c r="B265" s="16">
        <v>1</v>
      </c>
      <c r="C265" s="16">
        <v>1</v>
      </c>
      <c r="D265" s="17">
        <v>15000</v>
      </c>
      <c r="E265" s="17">
        <f t="shared" si="4"/>
        <v>15000</v>
      </c>
      <c r="F265" s="16" t="str">
        <f>INDEX(Products!$B$2:$B$9,MATCH(B265,Products!$A$2:$A$9,0))</f>
        <v>Smartphone 6"</v>
      </c>
      <c r="G265" s="16" t="str">
        <f>INDEX(Products!$C$2:$C$9,MATCH(B265,Products!$A$2:$A$9,0))</f>
        <v>Electronics</v>
      </c>
      <c r="H265" s="16">
        <f>INDEX(Orders!$F$2:$F$201,MATCH(A265,Orders!$A$2:$A$201,0))</f>
        <v>202307</v>
      </c>
      <c r="I265" s="16" t="str">
        <f>INDEX(Orders!$E$2:$E$201,MATCH(A265,Orders!$A$2:$A$201,0))</f>
        <v>Chennai</v>
      </c>
    </row>
    <row r="266" spans="1:9" x14ac:dyDescent="0.3">
      <c r="A266" s="16">
        <v>105</v>
      </c>
      <c r="B266" s="16">
        <v>8</v>
      </c>
      <c r="C266" s="16">
        <v>2</v>
      </c>
      <c r="D266" s="17">
        <v>3000</v>
      </c>
      <c r="E266" s="17">
        <f t="shared" si="4"/>
        <v>6000</v>
      </c>
      <c r="F266" s="16" t="str">
        <f>INDEX(Products!$B$2:$B$9,MATCH(B266,Products!$A$2:$A$9,0))</f>
        <v>Wireless Earbuds</v>
      </c>
      <c r="G266" s="16" t="str">
        <f>INDEX(Products!$C$2:$C$9,MATCH(B266,Products!$A$2:$A$9,0))</f>
        <v>Wearable Tech</v>
      </c>
      <c r="H266" s="16">
        <f>INDEX(Orders!$F$2:$F$201,MATCH(A266,Orders!$A$2:$A$201,0))</f>
        <v>202307</v>
      </c>
      <c r="I266" s="16" t="str">
        <f>INDEX(Orders!$E$2:$E$201,MATCH(A266,Orders!$A$2:$A$201,0))</f>
        <v>Chennai</v>
      </c>
    </row>
    <row r="267" spans="1:9" x14ac:dyDescent="0.3">
      <c r="A267" s="16">
        <v>105</v>
      </c>
      <c r="B267" s="16">
        <v>8</v>
      </c>
      <c r="C267" s="16">
        <v>3</v>
      </c>
      <c r="D267" s="17">
        <v>3000</v>
      </c>
      <c r="E267" s="17">
        <f t="shared" si="4"/>
        <v>9000</v>
      </c>
      <c r="F267" s="16" t="str">
        <f>INDEX(Products!$B$2:$B$9,MATCH(B267,Products!$A$2:$A$9,0))</f>
        <v>Wireless Earbuds</v>
      </c>
      <c r="G267" s="16" t="str">
        <f>INDEX(Products!$C$2:$C$9,MATCH(B267,Products!$A$2:$A$9,0))</f>
        <v>Wearable Tech</v>
      </c>
      <c r="H267" s="16">
        <f>INDEX(Orders!$F$2:$F$201,MATCH(A267,Orders!$A$2:$A$201,0))</f>
        <v>202307</v>
      </c>
      <c r="I267" s="16" t="str">
        <f>INDEX(Orders!$E$2:$E$201,MATCH(A267,Orders!$A$2:$A$201,0))</f>
        <v>Chennai</v>
      </c>
    </row>
    <row r="268" spans="1:9" x14ac:dyDescent="0.3">
      <c r="A268" s="16">
        <v>106</v>
      </c>
      <c r="B268" s="16">
        <v>4</v>
      </c>
      <c r="C268" s="16">
        <v>3</v>
      </c>
      <c r="D268" s="17">
        <v>12000</v>
      </c>
      <c r="E268" s="17">
        <f t="shared" si="4"/>
        <v>36000</v>
      </c>
      <c r="F268" s="16" t="str">
        <f>INDEX(Products!$B$2:$B$9,MATCH(B268,Products!$A$2:$A$9,0))</f>
        <v>E-Book Reader</v>
      </c>
      <c r="G268" s="16" t="str">
        <f>INDEX(Products!$C$2:$C$9,MATCH(B268,Products!$A$2:$A$9,0))</f>
        <v>Electronics</v>
      </c>
      <c r="H268" s="16">
        <f>INDEX(Orders!$F$2:$F$201,MATCH(A268,Orders!$A$2:$A$201,0))</f>
        <v>202303</v>
      </c>
      <c r="I268" s="16" t="str">
        <f>INDEX(Orders!$E$2:$E$201,MATCH(A268,Orders!$A$2:$A$201,0))</f>
        <v>Pune</v>
      </c>
    </row>
    <row r="269" spans="1:9" x14ac:dyDescent="0.3">
      <c r="A269" s="16">
        <v>106</v>
      </c>
      <c r="B269" s="16">
        <v>4</v>
      </c>
      <c r="C269" s="16">
        <v>1</v>
      </c>
      <c r="D269" s="17">
        <v>12000</v>
      </c>
      <c r="E269" s="17">
        <f t="shared" si="4"/>
        <v>12000</v>
      </c>
      <c r="F269" s="16" t="str">
        <f>INDEX(Products!$B$2:$B$9,MATCH(B269,Products!$A$2:$A$9,0))</f>
        <v>E-Book Reader</v>
      </c>
      <c r="G269" s="16" t="str">
        <f>INDEX(Products!$C$2:$C$9,MATCH(B269,Products!$A$2:$A$9,0))</f>
        <v>Electronics</v>
      </c>
      <c r="H269" s="16">
        <f>INDEX(Orders!$F$2:$F$201,MATCH(A269,Orders!$A$2:$A$201,0))</f>
        <v>202303</v>
      </c>
      <c r="I269" s="16" t="str">
        <f>INDEX(Orders!$E$2:$E$201,MATCH(A269,Orders!$A$2:$A$201,0))</f>
        <v>Pune</v>
      </c>
    </row>
    <row r="270" spans="1:9" x14ac:dyDescent="0.3">
      <c r="A270" s="16">
        <v>107</v>
      </c>
      <c r="B270" s="16">
        <v>5</v>
      </c>
      <c r="C270" s="16">
        <v>1</v>
      </c>
      <c r="D270" s="17">
        <v>5000</v>
      </c>
      <c r="E270" s="17">
        <f t="shared" si="4"/>
        <v>5000</v>
      </c>
      <c r="F270" s="16" t="str">
        <f>INDEX(Products!$B$2:$B$9,MATCH(B270,Products!$A$2:$A$9,0))</f>
        <v>Smartwatch Fitness Tracker</v>
      </c>
      <c r="G270" s="16" t="str">
        <f>INDEX(Products!$C$2:$C$9,MATCH(B270,Products!$A$2:$A$9,0))</f>
        <v>Wearable Tech</v>
      </c>
      <c r="H270" s="16">
        <f>INDEX(Orders!$F$2:$F$201,MATCH(A270,Orders!$A$2:$A$201,0))</f>
        <v>202306</v>
      </c>
      <c r="I270" s="16" t="str">
        <f>INDEX(Orders!$E$2:$E$201,MATCH(A270,Orders!$A$2:$A$201,0))</f>
        <v>Chennai</v>
      </c>
    </row>
    <row r="271" spans="1:9" x14ac:dyDescent="0.3">
      <c r="A271" s="16">
        <v>107</v>
      </c>
      <c r="B271" s="16">
        <v>2</v>
      </c>
      <c r="C271" s="16">
        <v>2</v>
      </c>
      <c r="D271" s="17">
        <v>60000</v>
      </c>
      <c r="E271" s="17">
        <f t="shared" si="4"/>
        <v>120000</v>
      </c>
      <c r="F271" s="16" t="str">
        <f>INDEX(Products!$B$2:$B$9,MATCH(B271,Products!$A$2:$A$9,0))</f>
        <v>Laptop 15" Pro</v>
      </c>
      <c r="G271" s="16" t="str">
        <f>INDEX(Products!$C$2:$C$9,MATCH(B271,Products!$A$2:$A$9,0))</f>
        <v>Electronics</v>
      </c>
      <c r="H271" s="16">
        <f>INDEX(Orders!$F$2:$F$201,MATCH(A271,Orders!$A$2:$A$201,0))</f>
        <v>202306</v>
      </c>
      <c r="I271" s="16" t="str">
        <f>INDEX(Orders!$E$2:$E$201,MATCH(A271,Orders!$A$2:$A$201,0))</f>
        <v>Chennai</v>
      </c>
    </row>
    <row r="272" spans="1:9" x14ac:dyDescent="0.3">
      <c r="A272" s="16">
        <v>107</v>
      </c>
      <c r="B272" s="16">
        <v>3</v>
      </c>
      <c r="C272" s="16">
        <v>1</v>
      </c>
      <c r="D272" s="17">
        <v>8000</v>
      </c>
      <c r="E272" s="17">
        <f t="shared" si="4"/>
        <v>8000</v>
      </c>
      <c r="F272" s="16" t="str">
        <f>INDEX(Products!$B$2:$B$9,MATCH(B272,Products!$A$2:$A$9,0))</f>
        <v>Bluetooth Headphones</v>
      </c>
      <c r="G272" s="16" t="str">
        <f>INDEX(Products!$C$2:$C$9,MATCH(B272,Products!$A$2:$A$9,0))</f>
        <v>Electronics</v>
      </c>
      <c r="H272" s="16">
        <f>INDEX(Orders!$F$2:$F$201,MATCH(A272,Orders!$A$2:$A$201,0))</f>
        <v>202306</v>
      </c>
      <c r="I272" s="16" t="str">
        <f>INDEX(Orders!$E$2:$E$201,MATCH(A272,Orders!$A$2:$A$201,0))</f>
        <v>Chennai</v>
      </c>
    </row>
    <row r="273" spans="1:9" x14ac:dyDescent="0.3">
      <c r="A273" s="16">
        <v>107</v>
      </c>
      <c r="B273" s="16">
        <v>2</v>
      </c>
      <c r="C273" s="16">
        <v>3</v>
      </c>
      <c r="D273" s="17">
        <v>60000</v>
      </c>
      <c r="E273" s="17">
        <f t="shared" si="4"/>
        <v>180000</v>
      </c>
      <c r="F273" s="16" t="str">
        <f>INDEX(Products!$B$2:$B$9,MATCH(B273,Products!$A$2:$A$9,0))</f>
        <v>Laptop 15" Pro</v>
      </c>
      <c r="G273" s="16" t="str">
        <f>INDEX(Products!$C$2:$C$9,MATCH(B273,Products!$A$2:$A$9,0))</f>
        <v>Electronics</v>
      </c>
      <c r="H273" s="16">
        <f>INDEX(Orders!$F$2:$F$201,MATCH(A273,Orders!$A$2:$A$201,0))</f>
        <v>202306</v>
      </c>
      <c r="I273" s="16" t="str">
        <f>INDEX(Orders!$E$2:$E$201,MATCH(A273,Orders!$A$2:$A$201,0))</f>
        <v>Chennai</v>
      </c>
    </row>
    <row r="274" spans="1:9" x14ac:dyDescent="0.3">
      <c r="A274" s="16">
        <v>108</v>
      </c>
      <c r="B274" s="16">
        <v>2</v>
      </c>
      <c r="C274" s="16">
        <v>2</v>
      </c>
      <c r="D274" s="17">
        <v>60000</v>
      </c>
      <c r="E274" s="17">
        <f t="shared" si="4"/>
        <v>120000</v>
      </c>
      <c r="F274" s="16" t="str">
        <f>INDEX(Products!$B$2:$B$9,MATCH(B274,Products!$A$2:$A$9,0))</f>
        <v>Laptop 15" Pro</v>
      </c>
      <c r="G274" s="16" t="str">
        <f>INDEX(Products!$C$2:$C$9,MATCH(B274,Products!$A$2:$A$9,0))</f>
        <v>Electronics</v>
      </c>
      <c r="H274" s="16">
        <f>INDEX(Orders!$F$2:$F$201,MATCH(A274,Orders!$A$2:$A$201,0))</f>
        <v>202305</v>
      </c>
      <c r="I274" s="16" t="str">
        <f>INDEX(Orders!$E$2:$E$201,MATCH(A274,Orders!$A$2:$A$201,0))</f>
        <v>Chennai</v>
      </c>
    </row>
    <row r="275" spans="1:9" x14ac:dyDescent="0.3">
      <c r="A275" s="16">
        <v>108</v>
      </c>
      <c r="B275" s="16">
        <v>2</v>
      </c>
      <c r="C275" s="16">
        <v>2</v>
      </c>
      <c r="D275" s="17">
        <v>60000</v>
      </c>
      <c r="E275" s="17">
        <f t="shared" si="4"/>
        <v>120000</v>
      </c>
      <c r="F275" s="16" t="str">
        <f>INDEX(Products!$B$2:$B$9,MATCH(B275,Products!$A$2:$A$9,0))</f>
        <v>Laptop 15" Pro</v>
      </c>
      <c r="G275" s="16" t="str">
        <f>INDEX(Products!$C$2:$C$9,MATCH(B275,Products!$A$2:$A$9,0))</f>
        <v>Electronics</v>
      </c>
      <c r="H275" s="16">
        <f>INDEX(Orders!$F$2:$F$201,MATCH(A275,Orders!$A$2:$A$201,0))</f>
        <v>202305</v>
      </c>
      <c r="I275" s="16" t="str">
        <f>INDEX(Orders!$E$2:$E$201,MATCH(A275,Orders!$A$2:$A$201,0))</f>
        <v>Chennai</v>
      </c>
    </row>
    <row r="276" spans="1:9" x14ac:dyDescent="0.3">
      <c r="A276" s="16">
        <v>109</v>
      </c>
      <c r="B276" s="16">
        <v>7</v>
      </c>
      <c r="C276" s="16">
        <v>3</v>
      </c>
      <c r="D276" s="17">
        <v>40000</v>
      </c>
      <c r="E276" s="17">
        <f t="shared" si="4"/>
        <v>120000</v>
      </c>
      <c r="F276" s="16" t="str">
        <f>INDEX(Products!$B$2:$B$9,MATCH(B276,Products!$A$2:$A$9,0))</f>
        <v>Digital SLR Camera</v>
      </c>
      <c r="G276" s="16" t="str">
        <f>INDEX(Products!$C$2:$C$9,MATCH(B276,Products!$A$2:$A$9,0))</f>
        <v>Photography</v>
      </c>
      <c r="H276" s="16">
        <f>INDEX(Orders!$F$2:$F$201,MATCH(A276,Orders!$A$2:$A$201,0))</f>
        <v>202310</v>
      </c>
      <c r="I276" s="16" t="str">
        <f>INDEX(Orders!$E$2:$E$201,MATCH(A276,Orders!$A$2:$A$201,0))</f>
        <v>Chennai</v>
      </c>
    </row>
    <row r="277" spans="1:9" x14ac:dyDescent="0.3">
      <c r="A277" s="16">
        <v>109</v>
      </c>
      <c r="B277" s="16">
        <v>7</v>
      </c>
      <c r="C277" s="16">
        <v>1</v>
      </c>
      <c r="D277" s="17">
        <v>40000</v>
      </c>
      <c r="E277" s="17">
        <f t="shared" si="4"/>
        <v>40000</v>
      </c>
      <c r="F277" s="16" t="str">
        <f>INDEX(Products!$B$2:$B$9,MATCH(B277,Products!$A$2:$A$9,0))</f>
        <v>Digital SLR Camera</v>
      </c>
      <c r="G277" s="16" t="str">
        <f>INDEX(Products!$C$2:$C$9,MATCH(B277,Products!$A$2:$A$9,0))</f>
        <v>Photography</v>
      </c>
      <c r="H277" s="16">
        <f>INDEX(Orders!$F$2:$F$201,MATCH(A277,Orders!$A$2:$A$201,0))</f>
        <v>202310</v>
      </c>
      <c r="I277" s="16" t="str">
        <f>INDEX(Orders!$E$2:$E$201,MATCH(A277,Orders!$A$2:$A$201,0))</f>
        <v>Chennai</v>
      </c>
    </row>
    <row r="278" spans="1:9" x14ac:dyDescent="0.3">
      <c r="A278" s="16">
        <v>109</v>
      </c>
      <c r="B278" s="16">
        <v>8</v>
      </c>
      <c r="C278" s="16">
        <v>1</v>
      </c>
      <c r="D278" s="17">
        <v>3000</v>
      </c>
      <c r="E278" s="17">
        <f t="shared" si="4"/>
        <v>3000</v>
      </c>
      <c r="F278" s="16" t="str">
        <f>INDEX(Products!$B$2:$B$9,MATCH(B278,Products!$A$2:$A$9,0))</f>
        <v>Wireless Earbuds</v>
      </c>
      <c r="G278" s="16" t="str">
        <f>INDEX(Products!$C$2:$C$9,MATCH(B278,Products!$A$2:$A$9,0))</f>
        <v>Wearable Tech</v>
      </c>
      <c r="H278" s="16">
        <f>INDEX(Orders!$F$2:$F$201,MATCH(A278,Orders!$A$2:$A$201,0))</f>
        <v>202310</v>
      </c>
      <c r="I278" s="16" t="str">
        <f>INDEX(Orders!$E$2:$E$201,MATCH(A278,Orders!$A$2:$A$201,0))</f>
        <v>Chennai</v>
      </c>
    </row>
    <row r="279" spans="1:9" x14ac:dyDescent="0.3">
      <c r="A279" s="16">
        <v>109</v>
      </c>
      <c r="B279" s="16">
        <v>2</v>
      </c>
      <c r="C279" s="16">
        <v>1</v>
      </c>
      <c r="D279" s="17">
        <v>60000</v>
      </c>
      <c r="E279" s="17">
        <f t="shared" si="4"/>
        <v>60000</v>
      </c>
      <c r="F279" s="16" t="str">
        <f>INDEX(Products!$B$2:$B$9,MATCH(B279,Products!$A$2:$A$9,0))</f>
        <v>Laptop 15" Pro</v>
      </c>
      <c r="G279" s="16" t="str">
        <f>INDEX(Products!$C$2:$C$9,MATCH(B279,Products!$A$2:$A$9,0))</f>
        <v>Electronics</v>
      </c>
      <c r="H279" s="16">
        <f>INDEX(Orders!$F$2:$F$201,MATCH(A279,Orders!$A$2:$A$201,0))</f>
        <v>202310</v>
      </c>
      <c r="I279" s="16" t="str">
        <f>INDEX(Orders!$E$2:$E$201,MATCH(A279,Orders!$A$2:$A$201,0))</f>
        <v>Chennai</v>
      </c>
    </row>
    <row r="280" spans="1:9" x14ac:dyDescent="0.3">
      <c r="A280" s="16">
        <v>110</v>
      </c>
      <c r="B280" s="16">
        <v>8</v>
      </c>
      <c r="C280" s="16">
        <v>3</v>
      </c>
      <c r="D280" s="17">
        <v>3000</v>
      </c>
      <c r="E280" s="17">
        <f t="shared" si="4"/>
        <v>9000</v>
      </c>
      <c r="F280" s="16" t="str">
        <f>INDEX(Products!$B$2:$B$9,MATCH(B280,Products!$A$2:$A$9,0))</f>
        <v>Wireless Earbuds</v>
      </c>
      <c r="G280" s="16" t="str">
        <f>INDEX(Products!$C$2:$C$9,MATCH(B280,Products!$A$2:$A$9,0))</f>
        <v>Wearable Tech</v>
      </c>
      <c r="H280" s="16">
        <f>INDEX(Orders!$F$2:$F$201,MATCH(A280,Orders!$A$2:$A$201,0))</f>
        <v>202307</v>
      </c>
      <c r="I280" s="16" t="str">
        <f>INDEX(Orders!$E$2:$E$201,MATCH(A280,Orders!$A$2:$A$201,0))</f>
        <v>Delhi</v>
      </c>
    </row>
    <row r="281" spans="1:9" x14ac:dyDescent="0.3">
      <c r="A281" s="16">
        <v>110</v>
      </c>
      <c r="B281" s="16">
        <v>1</v>
      </c>
      <c r="C281" s="16">
        <v>1</v>
      </c>
      <c r="D281" s="17">
        <v>15000</v>
      </c>
      <c r="E281" s="17">
        <f t="shared" si="4"/>
        <v>15000</v>
      </c>
      <c r="F281" s="16" t="str">
        <f>INDEX(Products!$B$2:$B$9,MATCH(B281,Products!$A$2:$A$9,0))</f>
        <v>Smartphone 6"</v>
      </c>
      <c r="G281" s="16" t="str">
        <f>INDEX(Products!$C$2:$C$9,MATCH(B281,Products!$A$2:$A$9,0))</f>
        <v>Electronics</v>
      </c>
      <c r="H281" s="16">
        <f>INDEX(Orders!$F$2:$F$201,MATCH(A281,Orders!$A$2:$A$201,0))</f>
        <v>202307</v>
      </c>
      <c r="I281" s="16" t="str">
        <f>INDEX(Orders!$E$2:$E$201,MATCH(A281,Orders!$A$2:$A$201,0))</f>
        <v>Delhi</v>
      </c>
    </row>
    <row r="282" spans="1:9" x14ac:dyDescent="0.3">
      <c r="A282" s="16">
        <v>111</v>
      </c>
      <c r="B282" s="16">
        <v>3</v>
      </c>
      <c r="C282" s="16">
        <v>2</v>
      </c>
      <c r="D282" s="17">
        <v>8000</v>
      </c>
      <c r="E282" s="17">
        <f t="shared" si="4"/>
        <v>16000</v>
      </c>
      <c r="F282" s="16" t="str">
        <f>INDEX(Products!$B$2:$B$9,MATCH(B282,Products!$A$2:$A$9,0))</f>
        <v>Bluetooth Headphones</v>
      </c>
      <c r="G282" s="16" t="str">
        <f>INDEX(Products!$C$2:$C$9,MATCH(B282,Products!$A$2:$A$9,0))</f>
        <v>Electronics</v>
      </c>
      <c r="H282" s="16">
        <f>INDEX(Orders!$F$2:$F$201,MATCH(A282,Orders!$A$2:$A$201,0))</f>
        <v>202311</v>
      </c>
      <c r="I282" s="16" t="str">
        <f>INDEX(Orders!$E$2:$E$201,MATCH(A282,Orders!$A$2:$A$201,0))</f>
        <v>Chennai</v>
      </c>
    </row>
    <row r="283" spans="1:9" x14ac:dyDescent="0.3">
      <c r="A283" s="16">
        <v>111</v>
      </c>
      <c r="B283" s="16">
        <v>6</v>
      </c>
      <c r="C283" s="16">
        <v>3</v>
      </c>
      <c r="D283" s="17">
        <v>7000</v>
      </c>
      <c r="E283" s="17">
        <f t="shared" si="4"/>
        <v>21000</v>
      </c>
      <c r="F283" s="16" t="str">
        <f>INDEX(Products!$B$2:$B$9,MATCH(B283,Products!$A$2:$A$9,0))</f>
        <v>Portable Bluetooth Speaker</v>
      </c>
      <c r="G283" s="16" t="str">
        <f>INDEX(Products!$C$2:$C$9,MATCH(B283,Products!$A$2:$A$9,0))</f>
        <v>Electronics</v>
      </c>
      <c r="H283" s="16">
        <f>INDEX(Orders!$F$2:$F$201,MATCH(A283,Orders!$A$2:$A$201,0))</f>
        <v>202311</v>
      </c>
      <c r="I283" s="16" t="str">
        <f>INDEX(Orders!$E$2:$E$201,MATCH(A283,Orders!$A$2:$A$201,0))</f>
        <v>Chennai</v>
      </c>
    </row>
    <row r="284" spans="1:9" x14ac:dyDescent="0.3">
      <c r="A284" s="16">
        <v>111</v>
      </c>
      <c r="B284" s="16">
        <v>6</v>
      </c>
      <c r="C284" s="16">
        <v>1</v>
      </c>
      <c r="D284" s="17">
        <v>7000</v>
      </c>
      <c r="E284" s="17">
        <f t="shared" si="4"/>
        <v>7000</v>
      </c>
      <c r="F284" s="16" t="str">
        <f>INDEX(Products!$B$2:$B$9,MATCH(B284,Products!$A$2:$A$9,0))</f>
        <v>Portable Bluetooth Speaker</v>
      </c>
      <c r="G284" s="16" t="str">
        <f>INDEX(Products!$C$2:$C$9,MATCH(B284,Products!$A$2:$A$9,0))</f>
        <v>Electronics</v>
      </c>
      <c r="H284" s="16">
        <f>INDEX(Orders!$F$2:$F$201,MATCH(A284,Orders!$A$2:$A$201,0))</f>
        <v>202311</v>
      </c>
      <c r="I284" s="16" t="str">
        <f>INDEX(Orders!$E$2:$E$201,MATCH(A284,Orders!$A$2:$A$201,0))</f>
        <v>Chennai</v>
      </c>
    </row>
    <row r="285" spans="1:9" x14ac:dyDescent="0.3">
      <c r="A285" s="16">
        <v>112</v>
      </c>
      <c r="B285" s="16">
        <v>6</v>
      </c>
      <c r="C285" s="16">
        <v>2</v>
      </c>
      <c r="D285" s="17">
        <v>7000</v>
      </c>
      <c r="E285" s="17">
        <f t="shared" si="4"/>
        <v>14000</v>
      </c>
      <c r="F285" s="16" t="str">
        <f>INDEX(Products!$B$2:$B$9,MATCH(B285,Products!$A$2:$A$9,0))</f>
        <v>Portable Bluetooth Speaker</v>
      </c>
      <c r="G285" s="16" t="str">
        <f>INDEX(Products!$C$2:$C$9,MATCH(B285,Products!$A$2:$A$9,0))</f>
        <v>Electronics</v>
      </c>
      <c r="H285" s="16">
        <f>INDEX(Orders!$F$2:$F$201,MATCH(A285,Orders!$A$2:$A$201,0))</f>
        <v>202304</v>
      </c>
      <c r="I285" s="16" t="str">
        <f>INDEX(Orders!$E$2:$E$201,MATCH(A285,Orders!$A$2:$A$201,0))</f>
        <v>Pune</v>
      </c>
    </row>
    <row r="286" spans="1:9" x14ac:dyDescent="0.3">
      <c r="A286" s="16">
        <v>112</v>
      </c>
      <c r="B286" s="16">
        <v>5</v>
      </c>
      <c r="C286" s="16">
        <v>3</v>
      </c>
      <c r="D286" s="17">
        <v>5000</v>
      </c>
      <c r="E286" s="17">
        <f t="shared" si="4"/>
        <v>15000</v>
      </c>
      <c r="F286" s="16" t="str">
        <f>INDEX(Products!$B$2:$B$9,MATCH(B286,Products!$A$2:$A$9,0))</f>
        <v>Smartwatch Fitness Tracker</v>
      </c>
      <c r="G286" s="16" t="str">
        <f>INDEX(Products!$C$2:$C$9,MATCH(B286,Products!$A$2:$A$9,0))</f>
        <v>Wearable Tech</v>
      </c>
      <c r="H286" s="16">
        <f>INDEX(Orders!$F$2:$F$201,MATCH(A286,Orders!$A$2:$A$201,0))</f>
        <v>202304</v>
      </c>
      <c r="I286" s="16" t="str">
        <f>INDEX(Orders!$E$2:$E$201,MATCH(A286,Orders!$A$2:$A$201,0))</f>
        <v>Pune</v>
      </c>
    </row>
    <row r="287" spans="1:9" x14ac:dyDescent="0.3">
      <c r="A287" s="16">
        <v>113</v>
      </c>
      <c r="B287" s="16">
        <v>4</v>
      </c>
      <c r="C287" s="16">
        <v>3</v>
      </c>
      <c r="D287" s="17">
        <v>12000</v>
      </c>
      <c r="E287" s="17">
        <f t="shared" si="4"/>
        <v>36000</v>
      </c>
      <c r="F287" s="16" t="str">
        <f>INDEX(Products!$B$2:$B$9,MATCH(B287,Products!$A$2:$A$9,0))</f>
        <v>E-Book Reader</v>
      </c>
      <c r="G287" s="16" t="str">
        <f>INDEX(Products!$C$2:$C$9,MATCH(B287,Products!$A$2:$A$9,0))</f>
        <v>Electronics</v>
      </c>
      <c r="H287" s="16">
        <f>INDEX(Orders!$F$2:$F$201,MATCH(A287,Orders!$A$2:$A$201,0))</f>
        <v>202304</v>
      </c>
      <c r="I287" s="16" t="str">
        <f>INDEX(Orders!$E$2:$E$201,MATCH(A287,Orders!$A$2:$A$201,0))</f>
        <v>Kolkata</v>
      </c>
    </row>
    <row r="288" spans="1:9" x14ac:dyDescent="0.3">
      <c r="A288" s="16">
        <v>113</v>
      </c>
      <c r="B288" s="16">
        <v>6</v>
      </c>
      <c r="C288" s="16">
        <v>2</v>
      </c>
      <c r="D288" s="17">
        <v>7000</v>
      </c>
      <c r="E288" s="17">
        <f t="shared" si="4"/>
        <v>14000</v>
      </c>
      <c r="F288" s="16" t="str">
        <f>INDEX(Products!$B$2:$B$9,MATCH(B288,Products!$A$2:$A$9,0))</f>
        <v>Portable Bluetooth Speaker</v>
      </c>
      <c r="G288" s="16" t="str">
        <f>INDEX(Products!$C$2:$C$9,MATCH(B288,Products!$A$2:$A$9,0))</f>
        <v>Electronics</v>
      </c>
      <c r="H288" s="16">
        <f>INDEX(Orders!$F$2:$F$201,MATCH(A288,Orders!$A$2:$A$201,0))</f>
        <v>202304</v>
      </c>
      <c r="I288" s="16" t="str">
        <f>INDEX(Orders!$E$2:$E$201,MATCH(A288,Orders!$A$2:$A$201,0))</f>
        <v>Kolkata</v>
      </c>
    </row>
    <row r="289" spans="1:9" x14ac:dyDescent="0.3">
      <c r="A289" s="16">
        <v>114</v>
      </c>
      <c r="B289" s="16">
        <v>8</v>
      </c>
      <c r="C289" s="16">
        <v>1</v>
      </c>
      <c r="D289" s="17">
        <v>3000</v>
      </c>
      <c r="E289" s="17">
        <f t="shared" si="4"/>
        <v>3000</v>
      </c>
      <c r="F289" s="16" t="str">
        <f>INDEX(Products!$B$2:$B$9,MATCH(B289,Products!$A$2:$A$9,0))</f>
        <v>Wireless Earbuds</v>
      </c>
      <c r="G289" s="16" t="str">
        <f>INDEX(Products!$C$2:$C$9,MATCH(B289,Products!$A$2:$A$9,0))</f>
        <v>Wearable Tech</v>
      </c>
      <c r="H289" s="16">
        <f>INDEX(Orders!$F$2:$F$201,MATCH(A289,Orders!$A$2:$A$201,0))</f>
        <v>202312</v>
      </c>
      <c r="I289" s="16" t="str">
        <f>INDEX(Orders!$E$2:$E$201,MATCH(A289,Orders!$A$2:$A$201,0))</f>
        <v>Kolkata</v>
      </c>
    </row>
    <row r="290" spans="1:9" x14ac:dyDescent="0.3">
      <c r="A290" s="16">
        <v>114</v>
      </c>
      <c r="B290" s="16">
        <v>6</v>
      </c>
      <c r="C290" s="16">
        <v>2</v>
      </c>
      <c r="D290" s="17">
        <v>7000</v>
      </c>
      <c r="E290" s="17">
        <f t="shared" si="4"/>
        <v>14000</v>
      </c>
      <c r="F290" s="16" t="str">
        <f>INDEX(Products!$B$2:$B$9,MATCH(B290,Products!$A$2:$A$9,0))</f>
        <v>Portable Bluetooth Speaker</v>
      </c>
      <c r="G290" s="16" t="str">
        <f>INDEX(Products!$C$2:$C$9,MATCH(B290,Products!$A$2:$A$9,0))</f>
        <v>Electronics</v>
      </c>
      <c r="H290" s="16">
        <f>INDEX(Orders!$F$2:$F$201,MATCH(A290,Orders!$A$2:$A$201,0))</f>
        <v>202312</v>
      </c>
      <c r="I290" s="16" t="str">
        <f>INDEX(Orders!$E$2:$E$201,MATCH(A290,Orders!$A$2:$A$201,0))</f>
        <v>Kolkata</v>
      </c>
    </row>
    <row r="291" spans="1:9" x14ac:dyDescent="0.3">
      <c r="A291" s="16">
        <v>115</v>
      </c>
      <c r="B291" s="16">
        <v>3</v>
      </c>
      <c r="C291" s="16">
        <v>2</v>
      </c>
      <c r="D291" s="17">
        <v>8000</v>
      </c>
      <c r="E291" s="17">
        <f t="shared" si="4"/>
        <v>16000</v>
      </c>
      <c r="F291" s="16" t="str">
        <f>INDEX(Products!$B$2:$B$9,MATCH(B291,Products!$A$2:$A$9,0))</f>
        <v>Bluetooth Headphones</v>
      </c>
      <c r="G291" s="16" t="str">
        <f>INDEX(Products!$C$2:$C$9,MATCH(B291,Products!$A$2:$A$9,0))</f>
        <v>Electronics</v>
      </c>
      <c r="H291" s="16">
        <f>INDEX(Orders!$F$2:$F$201,MATCH(A291,Orders!$A$2:$A$201,0))</f>
        <v>202303</v>
      </c>
      <c r="I291" s="16" t="str">
        <f>INDEX(Orders!$E$2:$E$201,MATCH(A291,Orders!$A$2:$A$201,0))</f>
        <v>Jaipur</v>
      </c>
    </row>
    <row r="292" spans="1:9" x14ac:dyDescent="0.3">
      <c r="A292" s="16">
        <v>115</v>
      </c>
      <c r="B292" s="16">
        <v>3</v>
      </c>
      <c r="C292" s="16">
        <v>3</v>
      </c>
      <c r="D292" s="17">
        <v>8000</v>
      </c>
      <c r="E292" s="17">
        <f t="shared" si="4"/>
        <v>24000</v>
      </c>
      <c r="F292" s="16" t="str">
        <f>INDEX(Products!$B$2:$B$9,MATCH(B292,Products!$A$2:$A$9,0))</f>
        <v>Bluetooth Headphones</v>
      </c>
      <c r="G292" s="16" t="str">
        <f>INDEX(Products!$C$2:$C$9,MATCH(B292,Products!$A$2:$A$9,0))</f>
        <v>Electronics</v>
      </c>
      <c r="H292" s="16">
        <f>INDEX(Orders!$F$2:$F$201,MATCH(A292,Orders!$A$2:$A$201,0))</f>
        <v>202303</v>
      </c>
      <c r="I292" s="16" t="str">
        <f>INDEX(Orders!$E$2:$E$201,MATCH(A292,Orders!$A$2:$A$201,0))</f>
        <v>Jaipur</v>
      </c>
    </row>
    <row r="293" spans="1:9" x14ac:dyDescent="0.3">
      <c r="A293" s="16">
        <v>115</v>
      </c>
      <c r="B293" s="16">
        <v>4</v>
      </c>
      <c r="C293" s="16">
        <v>1</v>
      </c>
      <c r="D293" s="17">
        <v>12000</v>
      </c>
      <c r="E293" s="17">
        <f t="shared" si="4"/>
        <v>12000</v>
      </c>
      <c r="F293" s="16" t="str">
        <f>INDEX(Products!$B$2:$B$9,MATCH(B293,Products!$A$2:$A$9,0))</f>
        <v>E-Book Reader</v>
      </c>
      <c r="G293" s="16" t="str">
        <f>INDEX(Products!$C$2:$C$9,MATCH(B293,Products!$A$2:$A$9,0))</f>
        <v>Electronics</v>
      </c>
      <c r="H293" s="16">
        <f>INDEX(Orders!$F$2:$F$201,MATCH(A293,Orders!$A$2:$A$201,0))</f>
        <v>202303</v>
      </c>
      <c r="I293" s="16" t="str">
        <f>INDEX(Orders!$E$2:$E$201,MATCH(A293,Orders!$A$2:$A$201,0))</f>
        <v>Jaipur</v>
      </c>
    </row>
    <row r="294" spans="1:9" x14ac:dyDescent="0.3">
      <c r="A294" s="16">
        <v>115</v>
      </c>
      <c r="B294" s="16">
        <v>3</v>
      </c>
      <c r="C294" s="16">
        <v>2</v>
      </c>
      <c r="D294" s="17">
        <v>8000</v>
      </c>
      <c r="E294" s="17">
        <f t="shared" si="4"/>
        <v>16000</v>
      </c>
      <c r="F294" s="16" t="str">
        <f>INDEX(Products!$B$2:$B$9,MATCH(B294,Products!$A$2:$A$9,0))</f>
        <v>Bluetooth Headphones</v>
      </c>
      <c r="G294" s="16" t="str">
        <f>INDEX(Products!$C$2:$C$9,MATCH(B294,Products!$A$2:$A$9,0))</f>
        <v>Electronics</v>
      </c>
      <c r="H294" s="16">
        <f>INDEX(Orders!$F$2:$F$201,MATCH(A294,Orders!$A$2:$A$201,0))</f>
        <v>202303</v>
      </c>
      <c r="I294" s="16" t="str">
        <f>INDEX(Orders!$E$2:$E$201,MATCH(A294,Orders!$A$2:$A$201,0))</f>
        <v>Jaipur</v>
      </c>
    </row>
    <row r="295" spans="1:9" x14ac:dyDescent="0.3">
      <c r="A295" s="16">
        <v>116</v>
      </c>
      <c r="B295" s="16">
        <v>3</v>
      </c>
      <c r="C295" s="16">
        <v>3</v>
      </c>
      <c r="D295" s="17">
        <v>8000</v>
      </c>
      <c r="E295" s="17">
        <f t="shared" si="4"/>
        <v>24000</v>
      </c>
      <c r="F295" s="16" t="str">
        <f>INDEX(Products!$B$2:$B$9,MATCH(B295,Products!$A$2:$A$9,0))</f>
        <v>Bluetooth Headphones</v>
      </c>
      <c r="G295" s="16" t="str">
        <f>INDEX(Products!$C$2:$C$9,MATCH(B295,Products!$A$2:$A$9,0))</f>
        <v>Electronics</v>
      </c>
      <c r="H295" s="16">
        <f>INDEX(Orders!$F$2:$F$201,MATCH(A295,Orders!$A$2:$A$201,0))</f>
        <v>202303</v>
      </c>
      <c r="I295" s="16" t="str">
        <f>INDEX(Orders!$E$2:$E$201,MATCH(A295,Orders!$A$2:$A$201,0))</f>
        <v>Lucknow</v>
      </c>
    </row>
    <row r="296" spans="1:9" x14ac:dyDescent="0.3">
      <c r="A296" s="16">
        <v>116</v>
      </c>
      <c r="B296" s="16">
        <v>5</v>
      </c>
      <c r="C296" s="16">
        <v>2</v>
      </c>
      <c r="D296" s="17">
        <v>5000</v>
      </c>
      <c r="E296" s="17">
        <f t="shared" si="4"/>
        <v>10000</v>
      </c>
      <c r="F296" s="16" t="str">
        <f>INDEX(Products!$B$2:$B$9,MATCH(B296,Products!$A$2:$A$9,0))</f>
        <v>Smartwatch Fitness Tracker</v>
      </c>
      <c r="G296" s="16" t="str">
        <f>INDEX(Products!$C$2:$C$9,MATCH(B296,Products!$A$2:$A$9,0))</f>
        <v>Wearable Tech</v>
      </c>
      <c r="H296" s="16">
        <f>INDEX(Orders!$F$2:$F$201,MATCH(A296,Orders!$A$2:$A$201,0))</f>
        <v>202303</v>
      </c>
      <c r="I296" s="16" t="str">
        <f>INDEX(Orders!$E$2:$E$201,MATCH(A296,Orders!$A$2:$A$201,0))</f>
        <v>Lucknow</v>
      </c>
    </row>
    <row r="297" spans="1:9" x14ac:dyDescent="0.3">
      <c r="A297" s="16">
        <v>116</v>
      </c>
      <c r="B297" s="16">
        <v>4</v>
      </c>
      <c r="C297" s="16">
        <v>2</v>
      </c>
      <c r="D297" s="17">
        <v>12000</v>
      </c>
      <c r="E297" s="17">
        <f t="shared" si="4"/>
        <v>24000</v>
      </c>
      <c r="F297" s="16" t="str">
        <f>INDEX(Products!$B$2:$B$9,MATCH(B297,Products!$A$2:$A$9,0))</f>
        <v>E-Book Reader</v>
      </c>
      <c r="G297" s="16" t="str">
        <f>INDEX(Products!$C$2:$C$9,MATCH(B297,Products!$A$2:$A$9,0))</f>
        <v>Electronics</v>
      </c>
      <c r="H297" s="16">
        <f>INDEX(Orders!$F$2:$F$201,MATCH(A297,Orders!$A$2:$A$201,0))</f>
        <v>202303</v>
      </c>
      <c r="I297" s="16" t="str">
        <f>INDEX(Orders!$E$2:$E$201,MATCH(A297,Orders!$A$2:$A$201,0))</f>
        <v>Lucknow</v>
      </c>
    </row>
    <row r="298" spans="1:9" x14ac:dyDescent="0.3">
      <c r="A298" s="16">
        <v>117</v>
      </c>
      <c r="B298" s="16">
        <v>6</v>
      </c>
      <c r="C298" s="16">
        <v>3</v>
      </c>
      <c r="D298" s="17">
        <v>7000</v>
      </c>
      <c r="E298" s="17">
        <f t="shared" si="4"/>
        <v>21000</v>
      </c>
      <c r="F298" s="16" t="str">
        <f>INDEX(Products!$B$2:$B$9,MATCH(B298,Products!$A$2:$A$9,0))</f>
        <v>Portable Bluetooth Speaker</v>
      </c>
      <c r="G298" s="16" t="str">
        <f>INDEX(Products!$C$2:$C$9,MATCH(B298,Products!$A$2:$A$9,0))</f>
        <v>Electronics</v>
      </c>
      <c r="H298" s="16">
        <f>INDEX(Orders!$F$2:$F$201,MATCH(A298,Orders!$A$2:$A$201,0))</f>
        <v>202307</v>
      </c>
      <c r="I298" s="16" t="str">
        <f>INDEX(Orders!$E$2:$E$201,MATCH(A298,Orders!$A$2:$A$201,0))</f>
        <v>Pune</v>
      </c>
    </row>
    <row r="299" spans="1:9" x14ac:dyDescent="0.3">
      <c r="A299" s="16">
        <v>117</v>
      </c>
      <c r="B299" s="16">
        <v>2</v>
      </c>
      <c r="C299" s="16">
        <v>1</v>
      </c>
      <c r="D299" s="17">
        <v>60000</v>
      </c>
      <c r="E299" s="17">
        <f t="shared" si="4"/>
        <v>60000</v>
      </c>
      <c r="F299" s="16" t="str">
        <f>INDEX(Products!$B$2:$B$9,MATCH(B299,Products!$A$2:$A$9,0))</f>
        <v>Laptop 15" Pro</v>
      </c>
      <c r="G299" s="16" t="str">
        <f>INDEX(Products!$C$2:$C$9,MATCH(B299,Products!$A$2:$A$9,0))</f>
        <v>Electronics</v>
      </c>
      <c r="H299" s="16">
        <f>INDEX(Orders!$F$2:$F$201,MATCH(A299,Orders!$A$2:$A$201,0))</f>
        <v>202307</v>
      </c>
      <c r="I299" s="16" t="str">
        <f>INDEX(Orders!$E$2:$E$201,MATCH(A299,Orders!$A$2:$A$201,0))</f>
        <v>Pune</v>
      </c>
    </row>
    <row r="300" spans="1:9" x14ac:dyDescent="0.3">
      <c r="A300" s="16">
        <v>117</v>
      </c>
      <c r="B300" s="16">
        <v>2</v>
      </c>
      <c r="C300" s="16">
        <v>1</v>
      </c>
      <c r="D300" s="17">
        <v>60000</v>
      </c>
      <c r="E300" s="17">
        <f t="shared" si="4"/>
        <v>60000</v>
      </c>
      <c r="F300" s="16" t="str">
        <f>INDEX(Products!$B$2:$B$9,MATCH(B300,Products!$A$2:$A$9,0))</f>
        <v>Laptop 15" Pro</v>
      </c>
      <c r="G300" s="16" t="str">
        <f>INDEX(Products!$C$2:$C$9,MATCH(B300,Products!$A$2:$A$9,0))</f>
        <v>Electronics</v>
      </c>
      <c r="H300" s="16">
        <f>INDEX(Orders!$F$2:$F$201,MATCH(A300,Orders!$A$2:$A$201,0))</f>
        <v>202307</v>
      </c>
      <c r="I300" s="16" t="str">
        <f>INDEX(Orders!$E$2:$E$201,MATCH(A300,Orders!$A$2:$A$201,0))</f>
        <v>Pune</v>
      </c>
    </row>
    <row r="301" spans="1:9" x14ac:dyDescent="0.3">
      <c r="A301" s="16">
        <v>117</v>
      </c>
      <c r="B301" s="16">
        <v>2</v>
      </c>
      <c r="C301" s="16">
        <v>3</v>
      </c>
      <c r="D301" s="17">
        <v>60000</v>
      </c>
      <c r="E301" s="17">
        <f t="shared" si="4"/>
        <v>180000</v>
      </c>
      <c r="F301" s="16" t="str">
        <f>INDEX(Products!$B$2:$B$9,MATCH(B301,Products!$A$2:$A$9,0))</f>
        <v>Laptop 15" Pro</v>
      </c>
      <c r="G301" s="16" t="str">
        <f>INDEX(Products!$C$2:$C$9,MATCH(B301,Products!$A$2:$A$9,0))</f>
        <v>Electronics</v>
      </c>
      <c r="H301" s="16">
        <f>INDEX(Orders!$F$2:$F$201,MATCH(A301,Orders!$A$2:$A$201,0))</f>
        <v>202307</v>
      </c>
      <c r="I301" s="16" t="str">
        <f>INDEX(Orders!$E$2:$E$201,MATCH(A301,Orders!$A$2:$A$201,0))</f>
        <v>Pune</v>
      </c>
    </row>
    <row r="302" spans="1:9" x14ac:dyDescent="0.3">
      <c r="A302" s="16">
        <v>118</v>
      </c>
      <c r="B302" s="16">
        <v>3</v>
      </c>
      <c r="C302" s="16">
        <v>3</v>
      </c>
      <c r="D302" s="17">
        <v>8000</v>
      </c>
      <c r="E302" s="17">
        <f t="shared" si="4"/>
        <v>24000</v>
      </c>
      <c r="F302" s="16" t="str">
        <f>INDEX(Products!$B$2:$B$9,MATCH(B302,Products!$A$2:$A$9,0))</f>
        <v>Bluetooth Headphones</v>
      </c>
      <c r="G302" s="16" t="str">
        <f>INDEX(Products!$C$2:$C$9,MATCH(B302,Products!$A$2:$A$9,0))</f>
        <v>Electronics</v>
      </c>
      <c r="H302" s="16">
        <f>INDEX(Orders!$F$2:$F$201,MATCH(A302,Orders!$A$2:$A$201,0))</f>
        <v>202303</v>
      </c>
      <c r="I302" s="16" t="str">
        <f>INDEX(Orders!$E$2:$E$201,MATCH(A302,Orders!$A$2:$A$201,0))</f>
        <v>Pune</v>
      </c>
    </row>
    <row r="303" spans="1:9" x14ac:dyDescent="0.3">
      <c r="A303" s="16">
        <v>119</v>
      </c>
      <c r="B303" s="16">
        <v>1</v>
      </c>
      <c r="C303" s="16">
        <v>3</v>
      </c>
      <c r="D303" s="17">
        <v>15000</v>
      </c>
      <c r="E303" s="17">
        <f t="shared" si="4"/>
        <v>45000</v>
      </c>
      <c r="F303" s="16" t="str">
        <f>INDEX(Products!$B$2:$B$9,MATCH(B303,Products!$A$2:$A$9,0))</f>
        <v>Smartphone 6"</v>
      </c>
      <c r="G303" s="16" t="str">
        <f>INDEX(Products!$C$2:$C$9,MATCH(B303,Products!$A$2:$A$9,0))</f>
        <v>Electronics</v>
      </c>
      <c r="H303" s="16">
        <f>INDEX(Orders!$F$2:$F$201,MATCH(A303,Orders!$A$2:$A$201,0))</f>
        <v>202308</v>
      </c>
      <c r="I303" s="16" t="str">
        <f>INDEX(Orders!$E$2:$E$201,MATCH(A303,Orders!$A$2:$A$201,0))</f>
        <v>Jaipur</v>
      </c>
    </row>
    <row r="304" spans="1:9" x14ac:dyDescent="0.3">
      <c r="A304" s="16">
        <v>119</v>
      </c>
      <c r="B304" s="16">
        <v>7</v>
      </c>
      <c r="C304" s="16">
        <v>3</v>
      </c>
      <c r="D304" s="17">
        <v>40000</v>
      </c>
      <c r="E304" s="17">
        <f t="shared" si="4"/>
        <v>120000</v>
      </c>
      <c r="F304" s="16" t="str">
        <f>INDEX(Products!$B$2:$B$9,MATCH(B304,Products!$A$2:$A$9,0))</f>
        <v>Digital SLR Camera</v>
      </c>
      <c r="G304" s="16" t="str">
        <f>INDEX(Products!$C$2:$C$9,MATCH(B304,Products!$A$2:$A$9,0))</f>
        <v>Photography</v>
      </c>
      <c r="H304" s="16">
        <f>INDEX(Orders!$F$2:$F$201,MATCH(A304,Orders!$A$2:$A$201,0))</f>
        <v>202308</v>
      </c>
      <c r="I304" s="16" t="str">
        <f>INDEX(Orders!$E$2:$E$201,MATCH(A304,Orders!$A$2:$A$201,0))</f>
        <v>Jaipur</v>
      </c>
    </row>
    <row r="305" spans="1:9" x14ac:dyDescent="0.3">
      <c r="A305" s="16">
        <v>119</v>
      </c>
      <c r="B305" s="16">
        <v>7</v>
      </c>
      <c r="C305" s="16">
        <v>3</v>
      </c>
      <c r="D305" s="17">
        <v>40000</v>
      </c>
      <c r="E305" s="17">
        <f t="shared" si="4"/>
        <v>120000</v>
      </c>
      <c r="F305" s="16" t="str">
        <f>INDEX(Products!$B$2:$B$9,MATCH(B305,Products!$A$2:$A$9,0))</f>
        <v>Digital SLR Camera</v>
      </c>
      <c r="G305" s="16" t="str">
        <f>INDEX(Products!$C$2:$C$9,MATCH(B305,Products!$A$2:$A$9,0))</f>
        <v>Photography</v>
      </c>
      <c r="H305" s="16">
        <f>INDEX(Orders!$F$2:$F$201,MATCH(A305,Orders!$A$2:$A$201,0))</f>
        <v>202308</v>
      </c>
      <c r="I305" s="16" t="str">
        <f>INDEX(Orders!$E$2:$E$201,MATCH(A305,Orders!$A$2:$A$201,0))</f>
        <v>Jaipur</v>
      </c>
    </row>
    <row r="306" spans="1:9" x14ac:dyDescent="0.3">
      <c r="A306" s="16">
        <v>120</v>
      </c>
      <c r="B306" s="16">
        <v>1</v>
      </c>
      <c r="C306" s="16">
        <v>1</v>
      </c>
      <c r="D306" s="17">
        <v>15000</v>
      </c>
      <c r="E306" s="17">
        <f t="shared" si="4"/>
        <v>15000</v>
      </c>
      <c r="F306" s="16" t="str">
        <f>INDEX(Products!$B$2:$B$9,MATCH(B306,Products!$A$2:$A$9,0))</f>
        <v>Smartphone 6"</v>
      </c>
      <c r="G306" s="16" t="str">
        <f>INDEX(Products!$C$2:$C$9,MATCH(B306,Products!$A$2:$A$9,0))</f>
        <v>Electronics</v>
      </c>
      <c r="H306" s="16">
        <f>INDEX(Orders!$F$2:$F$201,MATCH(A306,Orders!$A$2:$A$201,0))</f>
        <v>202401</v>
      </c>
      <c r="I306" s="16" t="str">
        <f>INDEX(Orders!$E$2:$E$201,MATCH(A306,Orders!$A$2:$A$201,0))</f>
        <v>Lucknow</v>
      </c>
    </row>
    <row r="307" spans="1:9" x14ac:dyDescent="0.3">
      <c r="A307" s="16">
        <v>120</v>
      </c>
      <c r="B307" s="16">
        <v>6</v>
      </c>
      <c r="C307" s="16">
        <v>2</v>
      </c>
      <c r="D307" s="17">
        <v>7000</v>
      </c>
      <c r="E307" s="17">
        <f t="shared" si="4"/>
        <v>14000</v>
      </c>
      <c r="F307" s="16" t="str">
        <f>INDEX(Products!$B$2:$B$9,MATCH(B307,Products!$A$2:$A$9,0))</f>
        <v>Portable Bluetooth Speaker</v>
      </c>
      <c r="G307" s="16" t="str">
        <f>INDEX(Products!$C$2:$C$9,MATCH(B307,Products!$A$2:$A$9,0))</f>
        <v>Electronics</v>
      </c>
      <c r="H307" s="16">
        <f>INDEX(Orders!$F$2:$F$201,MATCH(A307,Orders!$A$2:$A$201,0))</f>
        <v>202401</v>
      </c>
      <c r="I307" s="16" t="str">
        <f>INDEX(Orders!$E$2:$E$201,MATCH(A307,Orders!$A$2:$A$201,0))</f>
        <v>Lucknow</v>
      </c>
    </row>
    <row r="308" spans="1:9" x14ac:dyDescent="0.3">
      <c r="A308" s="16">
        <v>121</v>
      </c>
      <c r="B308" s="16">
        <v>6</v>
      </c>
      <c r="C308" s="16">
        <v>1</v>
      </c>
      <c r="D308" s="17">
        <v>7000</v>
      </c>
      <c r="E308" s="17">
        <f t="shared" si="4"/>
        <v>7000</v>
      </c>
      <c r="F308" s="16" t="str">
        <f>INDEX(Products!$B$2:$B$9,MATCH(B308,Products!$A$2:$A$9,0))</f>
        <v>Portable Bluetooth Speaker</v>
      </c>
      <c r="G308" s="16" t="str">
        <f>INDEX(Products!$C$2:$C$9,MATCH(B308,Products!$A$2:$A$9,0))</f>
        <v>Electronics</v>
      </c>
      <c r="H308" s="16">
        <f>INDEX(Orders!$F$2:$F$201,MATCH(A308,Orders!$A$2:$A$201,0))</f>
        <v>202308</v>
      </c>
      <c r="I308" s="16" t="str">
        <f>INDEX(Orders!$E$2:$E$201,MATCH(A308,Orders!$A$2:$A$201,0))</f>
        <v>Ahmedabad</v>
      </c>
    </row>
    <row r="309" spans="1:9" x14ac:dyDescent="0.3">
      <c r="A309" s="16">
        <v>121</v>
      </c>
      <c r="B309" s="16">
        <v>6</v>
      </c>
      <c r="C309" s="16">
        <v>3</v>
      </c>
      <c r="D309" s="17">
        <v>7000</v>
      </c>
      <c r="E309" s="17">
        <f t="shared" si="4"/>
        <v>21000</v>
      </c>
      <c r="F309" s="16" t="str">
        <f>INDEX(Products!$B$2:$B$9,MATCH(B309,Products!$A$2:$A$9,0))</f>
        <v>Portable Bluetooth Speaker</v>
      </c>
      <c r="G309" s="16" t="str">
        <f>INDEX(Products!$C$2:$C$9,MATCH(B309,Products!$A$2:$A$9,0))</f>
        <v>Electronics</v>
      </c>
      <c r="H309" s="16">
        <f>INDEX(Orders!$F$2:$F$201,MATCH(A309,Orders!$A$2:$A$201,0))</f>
        <v>202308</v>
      </c>
      <c r="I309" s="16" t="str">
        <f>INDEX(Orders!$E$2:$E$201,MATCH(A309,Orders!$A$2:$A$201,0))</f>
        <v>Ahmedabad</v>
      </c>
    </row>
    <row r="310" spans="1:9" x14ac:dyDescent="0.3">
      <c r="A310" s="16">
        <v>121</v>
      </c>
      <c r="B310" s="16">
        <v>3</v>
      </c>
      <c r="C310" s="16">
        <v>2</v>
      </c>
      <c r="D310" s="17">
        <v>8000</v>
      </c>
      <c r="E310" s="17">
        <f t="shared" si="4"/>
        <v>16000</v>
      </c>
      <c r="F310" s="16" t="str">
        <f>INDEX(Products!$B$2:$B$9,MATCH(B310,Products!$A$2:$A$9,0))</f>
        <v>Bluetooth Headphones</v>
      </c>
      <c r="G310" s="16" t="str">
        <f>INDEX(Products!$C$2:$C$9,MATCH(B310,Products!$A$2:$A$9,0))</f>
        <v>Electronics</v>
      </c>
      <c r="H310" s="16">
        <f>INDEX(Orders!$F$2:$F$201,MATCH(A310,Orders!$A$2:$A$201,0))</f>
        <v>202308</v>
      </c>
      <c r="I310" s="16" t="str">
        <f>INDEX(Orders!$E$2:$E$201,MATCH(A310,Orders!$A$2:$A$201,0))</f>
        <v>Ahmedabad</v>
      </c>
    </row>
    <row r="311" spans="1:9" x14ac:dyDescent="0.3">
      <c r="A311" s="16">
        <v>121</v>
      </c>
      <c r="B311" s="16">
        <v>7</v>
      </c>
      <c r="C311" s="16">
        <v>2</v>
      </c>
      <c r="D311" s="17">
        <v>40000</v>
      </c>
      <c r="E311" s="17">
        <f t="shared" si="4"/>
        <v>80000</v>
      </c>
      <c r="F311" s="16" t="str">
        <f>INDEX(Products!$B$2:$B$9,MATCH(B311,Products!$A$2:$A$9,0))</f>
        <v>Digital SLR Camera</v>
      </c>
      <c r="G311" s="16" t="str">
        <f>INDEX(Products!$C$2:$C$9,MATCH(B311,Products!$A$2:$A$9,0))</f>
        <v>Photography</v>
      </c>
      <c r="H311" s="16">
        <f>INDEX(Orders!$F$2:$F$201,MATCH(A311,Orders!$A$2:$A$201,0))</f>
        <v>202308</v>
      </c>
      <c r="I311" s="16" t="str">
        <f>INDEX(Orders!$E$2:$E$201,MATCH(A311,Orders!$A$2:$A$201,0))</f>
        <v>Ahmedabad</v>
      </c>
    </row>
    <row r="312" spans="1:9" x14ac:dyDescent="0.3">
      <c r="A312" s="16">
        <v>122</v>
      </c>
      <c r="B312" s="16">
        <v>3</v>
      </c>
      <c r="C312" s="16">
        <v>1</v>
      </c>
      <c r="D312" s="17">
        <v>8000</v>
      </c>
      <c r="E312" s="17">
        <f t="shared" si="4"/>
        <v>8000</v>
      </c>
      <c r="F312" s="16" t="str">
        <f>INDEX(Products!$B$2:$B$9,MATCH(B312,Products!$A$2:$A$9,0))</f>
        <v>Bluetooth Headphones</v>
      </c>
      <c r="G312" s="16" t="str">
        <f>INDEX(Products!$C$2:$C$9,MATCH(B312,Products!$A$2:$A$9,0))</f>
        <v>Electronics</v>
      </c>
      <c r="H312" s="16">
        <f>INDEX(Orders!$F$2:$F$201,MATCH(A312,Orders!$A$2:$A$201,0))</f>
        <v>202310</v>
      </c>
      <c r="I312" s="16" t="str">
        <f>INDEX(Orders!$E$2:$E$201,MATCH(A312,Orders!$A$2:$A$201,0))</f>
        <v>Lucknow</v>
      </c>
    </row>
    <row r="313" spans="1:9" x14ac:dyDescent="0.3">
      <c r="A313" s="16">
        <v>123</v>
      </c>
      <c r="B313" s="16">
        <v>1</v>
      </c>
      <c r="C313" s="16">
        <v>3</v>
      </c>
      <c r="D313" s="17">
        <v>15000</v>
      </c>
      <c r="E313" s="17">
        <f t="shared" si="4"/>
        <v>45000</v>
      </c>
      <c r="F313" s="16" t="str">
        <f>INDEX(Products!$B$2:$B$9,MATCH(B313,Products!$A$2:$A$9,0))</f>
        <v>Smartphone 6"</v>
      </c>
      <c r="G313" s="16" t="str">
        <f>INDEX(Products!$C$2:$C$9,MATCH(B313,Products!$A$2:$A$9,0))</f>
        <v>Electronics</v>
      </c>
      <c r="H313" s="16">
        <f>INDEX(Orders!$F$2:$F$201,MATCH(A313,Orders!$A$2:$A$201,0))</f>
        <v>202311</v>
      </c>
      <c r="I313" s="16" t="str">
        <f>INDEX(Orders!$E$2:$E$201,MATCH(A313,Orders!$A$2:$A$201,0))</f>
        <v>Chennai</v>
      </c>
    </row>
    <row r="314" spans="1:9" x14ac:dyDescent="0.3">
      <c r="A314" s="16">
        <v>123</v>
      </c>
      <c r="B314" s="16">
        <v>2</v>
      </c>
      <c r="C314" s="16">
        <v>3</v>
      </c>
      <c r="D314" s="17">
        <v>60000</v>
      </c>
      <c r="E314" s="17">
        <f t="shared" si="4"/>
        <v>180000</v>
      </c>
      <c r="F314" s="16" t="str">
        <f>INDEX(Products!$B$2:$B$9,MATCH(B314,Products!$A$2:$A$9,0))</f>
        <v>Laptop 15" Pro</v>
      </c>
      <c r="G314" s="16" t="str">
        <f>INDEX(Products!$C$2:$C$9,MATCH(B314,Products!$A$2:$A$9,0))</f>
        <v>Electronics</v>
      </c>
      <c r="H314" s="16">
        <f>INDEX(Orders!$F$2:$F$201,MATCH(A314,Orders!$A$2:$A$201,0))</f>
        <v>202311</v>
      </c>
      <c r="I314" s="16" t="str">
        <f>INDEX(Orders!$E$2:$E$201,MATCH(A314,Orders!$A$2:$A$201,0))</f>
        <v>Chennai</v>
      </c>
    </row>
    <row r="315" spans="1:9" x14ac:dyDescent="0.3">
      <c r="A315" s="16">
        <v>123</v>
      </c>
      <c r="B315" s="16">
        <v>2</v>
      </c>
      <c r="C315" s="16">
        <v>2</v>
      </c>
      <c r="D315" s="17">
        <v>60000</v>
      </c>
      <c r="E315" s="17">
        <f t="shared" si="4"/>
        <v>120000</v>
      </c>
      <c r="F315" s="16" t="str">
        <f>INDEX(Products!$B$2:$B$9,MATCH(B315,Products!$A$2:$A$9,0))</f>
        <v>Laptop 15" Pro</v>
      </c>
      <c r="G315" s="16" t="str">
        <f>INDEX(Products!$C$2:$C$9,MATCH(B315,Products!$A$2:$A$9,0))</f>
        <v>Electronics</v>
      </c>
      <c r="H315" s="16">
        <f>INDEX(Orders!$F$2:$F$201,MATCH(A315,Orders!$A$2:$A$201,0))</f>
        <v>202311</v>
      </c>
      <c r="I315" s="16" t="str">
        <f>INDEX(Orders!$E$2:$E$201,MATCH(A315,Orders!$A$2:$A$201,0))</f>
        <v>Chennai</v>
      </c>
    </row>
    <row r="316" spans="1:9" x14ac:dyDescent="0.3">
      <c r="A316" s="16">
        <v>124</v>
      </c>
      <c r="B316" s="16">
        <v>3</v>
      </c>
      <c r="C316" s="16">
        <v>2</v>
      </c>
      <c r="D316" s="17">
        <v>8000</v>
      </c>
      <c r="E316" s="17">
        <f t="shared" si="4"/>
        <v>16000</v>
      </c>
      <c r="F316" s="16" t="str">
        <f>INDEX(Products!$B$2:$B$9,MATCH(B316,Products!$A$2:$A$9,0))</f>
        <v>Bluetooth Headphones</v>
      </c>
      <c r="G316" s="16" t="str">
        <f>INDEX(Products!$C$2:$C$9,MATCH(B316,Products!$A$2:$A$9,0))</f>
        <v>Electronics</v>
      </c>
      <c r="H316" s="16">
        <f>INDEX(Orders!$F$2:$F$201,MATCH(A316,Orders!$A$2:$A$201,0))</f>
        <v>202401</v>
      </c>
      <c r="I316" s="16" t="str">
        <f>INDEX(Orders!$E$2:$E$201,MATCH(A316,Orders!$A$2:$A$201,0))</f>
        <v>Mumbai</v>
      </c>
    </row>
    <row r="317" spans="1:9" x14ac:dyDescent="0.3">
      <c r="A317" s="16">
        <v>124</v>
      </c>
      <c r="B317" s="16">
        <v>6</v>
      </c>
      <c r="C317" s="16">
        <v>1</v>
      </c>
      <c r="D317" s="17">
        <v>7000</v>
      </c>
      <c r="E317" s="17">
        <f t="shared" si="4"/>
        <v>7000</v>
      </c>
      <c r="F317" s="16" t="str">
        <f>INDEX(Products!$B$2:$B$9,MATCH(B317,Products!$A$2:$A$9,0))</f>
        <v>Portable Bluetooth Speaker</v>
      </c>
      <c r="G317" s="16" t="str">
        <f>INDEX(Products!$C$2:$C$9,MATCH(B317,Products!$A$2:$A$9,0))</f>
        <v>Electronics</v>
      </c>
      <c r="H317" s="16">
        <f>INDEX(Orders!$F$2:$F$201,MATCH(A317,Orders!$A$2:$A$201,0))</f>
        <v>202401</v>
      </c>
      <c r="I317" s="16" t="str">
        <f>INDEX(Orders!$E$2:$E$201,MATCH(A317,Orders!$A$2:$A$201,0))</f>
        <v>Mumbai</v>
      </c>
    </row>
    <row r="318" spans="1:9" x14ac:dyDescent="0.3">
      <c r="A318" s="16">
        <v>124</v>
      </c>
      <c r="B318" s="16">
        <v>7</v>
      </c>
      <c r="C318" s="16">
        <v>3</v>
      </c>
      <c r="D318" s="17">
        <v>40000</v>
      </c>
      <c r="E318" s="17">
        <f t="shared" si="4"/>
        <v>120000</v>
      </c>
      <c r="F318" s="16" t="str">
        <f>INDEX(Products!$B$2:$B$9,MATCH(B318,Products!$A$2:$A$9,0))</f>
        <v>Digital SLR Camera</v>
      </c>
      <c r="G318" s="16" t="str">
        <f>INDEX(Products!$C$2:$C$9,MATCH(B318,Products!$A$2:$A$9,0))</f>
        <v>Photography</v>
      </c>
      <c r="H318" s="16">
        <f>INDEX(Orders!$F$2:$F$201,MATCH(A318,Orders!$A$2:$A$201,0))</f>
        <v>202401</v>
      </c>
      <c r="I318" s="16" t="str">
        <f>INDEX(Orders!$E$2:$E$201,MATCH(A318,Orders!$A$2:$A$201,0))</f>
        <v>Mumbai</v>
      </c>
    </row>
    <row r="319" spans="1:9" x14ac:dyDescent="0.3">
      <c r="A319" s="16">
        <v>125</v>
      </c>
      <c r="B319" s="16">
        <v>3</v>
      </c>
      <c r="C319" s="16">
        <v>1</v>
      </c>
      <c r="D319" s="17">
        <v>8000</v>
      </c>
      <c r="E319" s="17">
        <f t="shared" si="4"/>
        <v>8000</v>
      </c>
      <c r="F319" s="16" t="str">
        <f>INDEX(Products!$B$2:$B$9,MATCH(B319,Products!$A$2:$A$9,0))</f>
        <v>Bluetooth Headphones</v>
      </c>
      <c r="G319" s="16" t="str">
        <f>INDEX(Products!$C$2:$C$9,MATCH(B319,Products!$A$2:$A$9,0))</f>
        <v>Electronics</v>
      </c>
      <c r="H319" s="16">
        <f>INDEX(Orders!$F$2:$F$201,MATCH(A319,Orders!$A$2:$A$201,0))</f>
        <v>202309</v>
      </c>
      <c r="I319" s="16" t="str">
        <f>INDEX(Orders!$E$2:$E$201,MATCH(A319,Orders!$A$2:$A$201,0))</f>
        <v>Chennai</v>
      </c>
    </row>
    <row r="320" spans="1:9" x14ac:dyDescent="0.3">
      <c r="A320" s="16">
        <v>125</v>
      </c>
      <c r="B320" s="16">
        <v>2</v>
      </c>
      <c r="C320" s="16">
        <v>1</v>
      </c>
      <c r="D320" s="17">
        <v>60000</v>
      </c>
      <c r="E320" s="17">
        <f t="shared" si="4"/>
        <v>60000</v>
      </c>
      <c r="F320" s="16" t="str">
        <f>INDEX(Products!$B$2:$B$9,MATCH(B320,Products!$A$2:$A$9,0))</f>
        <v>Laptop 15" Pro</v>
      </c>
      <c r="G320" s="16" t="str">
        <f>INDEX(Products!$C$2:$C$9,MATCH(B320,Products!$A$2:$A$9,0))</f>
        <v>Electronics</v>
      </c>
      <c r="H320" s="16">
        <f>INDEX(Orders!$F$2:$F$201,MATCH(A320,Orders!$A$2:$A$201,0))</f>
        <v>202309</v>
      </c>
      <c r="I320" s="16" t="str">
        <f>INDEX(Orders!$E$2:$E$201,MATCH(A320,Orders!$A$2:$A$201,0))</f>
        <v>Chennai</v>
      </c>
    </row>
    <row r="321" spans="1:9" x14ac:dyDescent="0.3">
      <c r="A321" s="16">
        <v>126</v>
      </c>
      <c r="B321" s="16">
        <v>6</v>
      </c>
      <c r="C321" s="16">
        <v>2</v>
      </c>
      <c r="D321" s="17">
        <v>7000</v>
      </c>
      <c r="E321" s="17">
        <f t="shared" si="4"/>
        <v>14000</v>
      </c>
      <c r="F321" s="16" t="str">
        <f>INDEX(Products!$B$2:$B$9,MATCH(B321,Products!$A$2:$A$9,0))</f>
        <v>Portable Bluetooth Speaker</v>
      </c>
      <c r="G321" s="16" t="str">
        <f>INDEX(Products!$C$2:$C$9,MATCH(B321,Products!$A$2:$A$9,0))</f>
        <v>Electronics</v>
      </c>
      <c r="H321" s="16">
        <f>INDEX(Orders!$F$2:$F$201,MATCH(A321,Orders!$A$2:$A$201,0))</f>
        <v>202303</v>
      </c>
      <c r="I321" s="16" t="str">
        <f>INDEX(Orders!$E$2:$E$201,MATCH(A321,Orders!$A$2:$A$201,0))</f>
        <v>Hyderabad</v>
      </c>
    </row>
    <row r="322" spans="1:9" x14ac:dyDescent="0.3">
      <c r="A322" s="16">
        <v>126</v>
      </c>
      <c r="B322" s="16">
        <v>7</v>
      </c>
      <c r="C322" s="16">
        <v>1</v>
      </c>
      <c r="D322" s="17">
        <v>40000</v>
      </c>
      <c r="E322" s="17">
        <f t="shared" ref="E322:E385" si="5">C322*D322</f>
        <v>40000</v>
      </c>
      <c r="F322" s="16" t="str">
        <f>INDEX(Products!$B$2:$B$9,MATCH(B322,Products!$A$2:$A$9,0))</f>
        <v>Digital SLR Camera</v>
      </c>
      <c r="G322" s="16" t="str">
        <f>INDEX(Products!$C$2:$C$9,MATCH(B322,Products!$A$2:$A$9,0))</f>
        <v>Photography</v>
      </c>
      <c r="H322" s="16">
        <f>INDEX(Orders!$F$2:$F$201,MATCH(A322,Orders!$A$2:$A$201,0))</f>
        <v>202303</v>
      </c>
      <c r="I322" s="16" t="str">
        <f>INDEX(Orders!$E$2:$E$201,MATCH(A322,Orders!$A$2:$A$201,0))</f>
        <v>Hyderabad</v>
      </c>
    </row>
    <row r="323" spans="1:9" x14ac:dyDescent="0.3">
      <c r="A323" s="16">
        <v>127</v>
      </c>
      <c r="B323" s="16">
        <v>7</v>
      </c>
      <c r="C323" s="16">
        <v>3</v>
      </c>
      <c r="D323" s="17">
        <v>40000</v>
      </c>
      <c r="E323" s="17">
        <f t="shared" si="5"/>
        <v>120000</v>
      </c>
      <c r="F323" s="16" t="str">
        <f>INDEX(Products!$B$2:$B$9,MATCH(B323,Products!$A$2:$A$9,0))</f>
        <v>Digital SLR Camera</v>
      </c>
      <c r="G323" s="16" t="str">
        <f>INDEX(Products!$C$2:$C$9,MATCH(B323,Products!$A$2:$A$9,0))</f>
        <v>Photography</v>
      </c>
      <c r="H323" s="16">
        <f>INDEX(Orders!$F$2:$F$201,MATCH(A323,Orders!$A$2:$A$201,0))</f>
        <v>202309</v>
      </c>
      <c r="I323" s="16" t="str">
        <f>INDEX(Orders!$E$2:$E$201,MATCH(A323,Orders!$A$2:$A$201,0))</f>
        <v>Delhi</v>
      </c>
    </row>
    <row r="324" spans="1:9" x14ac:dyDescent="0.3">
      <c r="A324" s="16">
        <v>127</v>
      </c>
      <c r="B324" s="16">
        <v>8</v>
      </c>
      <c r="C324" s="16">
        <v>3</v>
      </c>
      <c r="D324" s="17">
        <v>3000</v>
      </c>
      <c r="E324" s="17">
        <f t="shared" si="5"/>
        <v>9000</v>
      </c>
      <c r="F324" s="16" t="str">
        <f>INDEX(Products!$B$2:$B$9,MATCH(B324,Products!$A$2:$A$9,0))</f>
        <v>Wireless Earbuds</v>
      </c>
      <c r="G324" s="16" t="str">
        <f>INDEX(Products!$C$2:$C$9,MATCH(B324,Products!$A$2:$A$9,0))</f>
        <v>Wearable Tech</v>
      </c>
      <c r="H324" s="16">
        <f>INDEX(Orders!$F$2:$F$201,MATCH(A324,Orders!$A$2:$A$201,0))</f>
        <v>202309</v>
      </c>
      <c r="I324" s="16" t="str">
        <f>INDEX(Orders!$E$2:$E$201,MATCH(A324,Orders!$A$2:$A$201,0))</f>
        <v>Delhi</v>
      </c>
    </row>
    <row r="325" spans="1:9" x14ac:dyDescent="0.3">
      <c r="A325" s="16">
        <v>128</v>
      </c>
      <c r="B325" s="16">
        <v>1</v>
      </c>
      <c r="C325" s="16">
        <v>3</v>
      </c>
      <c r="D325" s="17">
        <v>15000</v>
      </c>
      <c r="E325" s="17">
        <f t="shared" si="5"/>
        <v>45000</v>
      </c>
      <c r="F325" s="16" t="str">
        <f>INDEX(Products!$B$2:$B$9,MATCH(B325,Products!$A$2:$A$9,0))</f>
        <v>Smartphone 6"</v>
      </c>
      <c r="G325" s="16" t="str">
        <f>INDEX(Products!$C$2:$C$9,MATCH(B325,Products!$A$2:$A$9,0))</f>
        <v>Electronics</v>
      </c>
      <c r="H325" s="16">
        <f>INDEX(Orders!$F$2:$F$201,MATCH(A325,Orders!$A$2:$A$201,0))</f>
        <v>202309</v>
      </c>
      <c r="I325" s="16" t="str">
        <f>INDEX(Orders!$E$2:$E$201,MATCH(A325,Orders!$A$2:$A$201,0))</f>
        <v>Kolkata</v>
      </c>
    </row>
    <row r="326" spans="1:9" x14ac:dyDescent="0.3">
      <c r="A326" s="16">
        <v>128</v>
      </c>
      <c r="B326" s="16">
        <v>3</v>
      </c>
      <c r="C326" s="16">
        <v>3</v>
      </c>
      <c r="D326" s="17">
        <v>8000</v>
      </c>
      <c r="E326" s="17">
        <f t="shared" si="5"/>
        <v>24000</v>
      </c>
      <c r="F326" s="16" t="str">
        <f>INDEX(Products!$B$2:$B$9,MATCH(B326,Products!$A$2:$A$9,0))</f>
        <v>Bluetooth Headphones</v>
      </c>
      <c r="G326" s="16" t="str">
        <f>INDEX(Products!$C$2:$C$9,MATCH(B326,Products!$A$2:$A$9,0))</f>
        <v>Electronics</v>
      </c>
      <c r="H326" s="16">
        <f>INDEX(Orders!$F$2:$F$201,MATCH(A326,Orders!$A$2:$A$201,0))</f>
        <v>202309</v>
      </c>
      <c r="I326" s="16" t="str">
        <f>INDEX(Orders!$E$2:$E$201,MATCH(A326,Orders!$A$2:$A$201,0))</f>
        <v>Kolkata</v>
      </c>
    </row>
    <row r="327" spans="1:9" x14ac:dyDescent="0.3">
      <c r="A327" s="16">
        <v>128</v>
      </c>
      <c r="B327" s="16">
        <v>8</v>
      </c>
      <c r="C327" s="16">
        <v>1</v>
      </c>
      <c r="D327" s="17">
        <v>3000</v>
      </c>
      <c r="E327" s="17">
        <f t="shared" si="5"/>
        <v>3000</v>
      </c>
      <c r="F327" s="16" t="str">
        <f>INDEX(Products!$B$2:$B$9,MATCH(B327,Products!$A$2:$A$9,0))</f>
        <v>Wireless Earbuds</v>
      </c>
      <c r="G327" s="16" t="str">
        <f>INDEX(Products!$C$2:$C$9,MATCH(B327,Products!$A$2:$A$9,0))</f>
        <v>Wearable Tech</v>
      </c>
      <c r="H327" s="16">
        <f>INDEX(Orders!$F$2:$F$201,MATCH(A327,Orders!$A$2:$A$201,0))</f>
        <v>202309</v>
      </c>
      <c r="I327" s="16" t="str">
        <f>INDEX(Orders!$E$2:$E$201,MATCH(A327,Orders!$A$2:$A$201,0))</f>
        <v>Kolkata</v>
      </c>
    </row>
    <row r="328" spans="1:9" x14ac:dyDescent="0.3">
      <c r="A328" s="16">
        <v>128</v>
      </c>
      <c r="B328" s="16">
        <v>7</v>
      </c>
      <c r="C328" s="16">
        <v>2</v>
      </c>
      <c r="D328" s="17">
        <v>40000</v>
      </c>
      <c r="E328" s="17">
        <f t="shared" si="5"/>
        <v>80000</v>
      </c>
      <c r="F328" s="16" t="str">
        <f>INDEX(Products!$B$2:$B$9,MATCH(B328,Products!$A$2:$A$9,0))</f>
        <v>Digital SLR Camera</v>
      </c>
      <c r="G328" s="16" t="str">
        <f>INDEX(Products!$C$2:$C$9,MATCH(B328,Products!$A$2:$A$9,0))</f>
        <v>Photography</v>
      </c>
      <c r="H328" s="16">
        <f>INDEX(Orders!$F$2:$F$201,MATCH(A328,Orders!$A$2:$A$201,0))</f>
        <v>202309</v>
      </c>
      <c r="I328" s="16" t="str">
        <f>INDEX(Orders!$E$2:$E$201,MATCH(A328,Orders!$A$2:$A$201,0))</f>
        <v>Kolkata</v>
      </c>
    </row>
    <row r="329" spans="1:9" x14ac:dyDescent="0.3">
      <c r="A329" s="16">
        <v>129</v>
      </c>
      <c r="B329" s="16">
        <v>1</v>
      </c>
      <c r="C329" s="16">
        <v>3</v>
      </c>
      <c r="D329" s="17">
        <v>15000</v>
      </c>
      <c r="E329" s="17">
        <f t="shared" si="5"/>
        <v>45000</v>
      </c>
      <c r="F329" s="16" t="str">
        <f>INDEX(Products!$B$2:$B$9,MATCH(B329,Products!$A$2:$A$9,0))</f>
        <v>Smartphone 6"</v>
      </c>
      <c r="G329" s="16" t="str">
        <f>INDEX(Products!$C$2:$C$9,MATCH(B329,Products!$A$2:$A$9,0))</f>
        <v>Electronics</v>
      </c>
      <c r="H329" s="16">
        <f>INDEX(Orders!$F$2:$F$201,MATCH(A329,Orders!$A$2:$A$201,0))</f>
        <v>202309</v>
      </c>
      <c r="I329" s="16" t="str">
        <f>INDEX(Orders!$E$2:$E$201,MATCH(A329,Orders!$A$2:$A$201,0))</f>
        <v>Bangalore</v>
      </c>
    </row>
    <row r="330" spans="1:9" x14ac:dyDescent="0.3">
      <c r="A330" s="16">
        <v>129</v>
      </c>
      <c r="B330" s="16">
        <v>4</v>
      </c>
      <c r="C330" s="16">
        <v>3</v>
      </c>
      <c r="D330" s="17">
        <v>12000</v>
      </c>
      <c r="E330" s="17">
        <f t="shared" si="5"/>
        <v>36000</v>
      </c>
      <c r="F330" s="16" t="str">
        <f>INDEX(Products!$B$2:$B$9,MATCH(B330,Products!$A$2:$A$9,0))</f>
        <v>E-Book Reader</v>
      </c>
      <c r="G330" s="16" t="str">
        <f>INDEX(Products!$C$2:$C$9,MATCH(B330,Products!$A$2:$A$9,0))</f>
        <v>Electronics</v>
      </c>
      <c r="H330" s="16">
        <f>INDEX(Orders!$F$2:$F$201,MATCH(A330,Orders!$A$2:$A$201,0))</f>
        <v>202309</v>
      </c>
      <c r="I330" s="16" t="str">
        <f>INDEX(Orders!$E$2:$E$201,MATCH(A330,Orders!$A$2:$A$201,0))</f>
        <v>Bangalore</v>
      </c>
    </row>
    <row r="331" spans="1:9" x14ac:dyDescent="0.3">
      <c r="A331" s="16">
        <v>129</v>
      </c>
      <c r="B331" s="16">
        <v>6</v>
      </c>
      <c r="C331" s="16">
        <v>1</v>
      </c>
      <c r="D331" s="17">
        <v>7000</v>
      </c>
      <c r="E331" s="17">
        <f t="shared" si="5"/>
        <v>7000</v>
      </c>
      <c r="F331" s="16" t="str">
        <f>INDEX(Products!$B$2:$B$9,MATCH(B331,Products!$A$2:$A$9,0))</f>
        <v>Portable Bluetooth Speaker</v>
      </c>
      <c r="G331" s="16" t="str">
        <f>INDEX(Products!$C$2:$C$9,MATCH(B331,Products!$A$2:$A$9,0))</f>
        <v>Electronics</v>
      </c>
      <c r="H331" s="16">
        <f>INDEX(Orders!$F$2:$F$201,MATCH(A331,Orders!$A$2:$A$201,0))</f>
        <v>202309</v>
      </c>
      <c r="I331" s="16" t="str">
        <f>INDEX(Orders!$E$2:$E$201,MATCH(A331,Orders!$A$2:$A$201,0))</f>
        <v>Bangalore</v>
      </c>
    </row>
    <row r="332" spans="1:9" x14ac:dyDescent="0.3">
      <c r="A332" s="16">
        <v>129</v>
      </c>
      <c r="B332" s="16">
        <v>5</v>
      </c>
      <c r="C332" s="16">
        <v>1</v>
      </c>
      <c r="D332" s="17">
        <v>5000</v>
      </c>
      <c r="E332" s="17">
        <f t="shared" si="5"/>
        <v>5000</v>
      </c>
      <c r="F332" s="16" t="str">
        <f>INDEX(Products!$B$2:$B$9,MATCH(B332,Products!$A$2:$A$9,0))</f>
        <v>Smartwatch Fitness Tracker</v>
      </c>
      <c r="G332" s="16" t="str">
        <f>INDEX(Products!$C$2:$C$9,MATCH(B332,Products!$A$2:$A$9,0))</f>
        <v>Wearable Tech</v>
      </c>
      <c r="H332" s="16">
        <f>INDEX(Orders!$F$2:$F$201,MATCH(A332,Orders!$A$2:$A$201,0))</f>
        <v>202309</v>
      </c>
      <c r="I332" s="16" t="str">
        <f>INDEX(Orders!$E$2:$E$201,MATCH(A332,Orders!$A$2:$A$201,0))</f>
        <v>Bangalore</v>
      </c>
    </row>
    <row r="333" spans="1:9" x14ac:dyDescent="0.3">
      <c r="A333" s="16">
        <v>130</v>
      </c>
      <c r="B333" s="16">
        <v>5</v>
      </c>
      <c r="C333" s="16">
        <v>2</v>
      </c>
      <c r="D333" s="17">
        <v>5000</v>
      </c>
      <c r="E333" s="17">
        <f t="shared" si="5"/>
        <v>10000</v>
      </c>
      <c r="F333" s="16" t="str">
        <f>INDEX(Products!$B$2:$B$9,MATCH(B333,Products!$A$2:$A$9,0))</f>
        <v>Smartwatch Fitness Tracker</v>
      </c>
      <c r="G333" s="16" t="str">
        <f>INDEX(Products!$C$2:$C$9,MATCH(B333,Products!$A$2:$A$9,0))</f>
        <v>Wearable Tech</v>
      </c>
      <c r="H333" s="16">
        <f>INDEX(Orders!$F$2:$F$201,MATCH(A333,Orders!$A$2:$A$201,0))</f>
        <v>202303</v>
      </c>
      <c r="I333" s="16" t="str">
        <f>INDEX(Orders!$E$2:$E$201,MATCH(A333,Orders!$A$2:$A$201,0))</f>
        <v>Delhi</v>
      </c>
    </row>
    <row r="334" spans="1:9" x14ac:dyDescent="0.3">
      <c r="A334" s="16">
        <v>131</v>
      </c>
      <c r="B334" s="16">
        <v>7</v>
      </c>
      <c r="C334" s="16">
        <v>3</v>
      </c>
      <c r="D334" s="17">
        <v>40000</v>
      </c>
      <c r="E334" s="17">
        <f t="shared" si="5"/>
        <v>120000</v>
      </c>
      <c r="F334" s="16" t="str">
        <f>INDEX(Products!$B$2:$B$9,MATCH(B334,Products!$A$2:$A$9,0))</f>
        <v>Digital SLR Camera</v>
      </c>
      <c r="G334" s="16" t="str">
        <f>INDEX(Products!$C$2:$C$9,MATCH(B334,Products!$A$2:$A$9,0))</f>
        <v>Photography</v>
      </c>
      <c r="H334" s="16">
        <f>INDEX(Orders!$F$2:$F$201,MATCH(A334,Orders!$A$2:$A$201,0))</f>
        <v>202312</v>
      </c>
      <c r="I334" s="16" t="str">
        <f>INDEX(Orders!$E$2:$E$201,MATCH(A334,Orders!$A$2:$A$201,0))</f>
        <v>Delhi</v>
      </c>
    </row>
    <row r="335" spans="1:9" x14ac:dyDescent="0.3">
      <c r="A335" s="16">
        <v>131</v>
      </c>
      <c r="B335" s="16">
        <v>7</v>
      </c>
      <c r="C335" s="16">
        <v>1</v>
      </c>
      <c r="D335" s="17">
        <v>40000</v>
      </c>
      <c r="E335" s="17">
        <f t="shared" si="5"/>
        <v>40000</v>
      </c>
      <c r="F335" s="16" t="str">
        <f>INDEX(Products!$B$2:$B$9,MATCH(B335,Products!$A$2:$A$9,0))</f>
        <v>Digital SLR Camera</v>
      </c>
      <c r="G335" s="16" t="str">
        <f>INDEX(Products!$C$2:$C$9,MATCH(B335,Products!$A$2:$A$9,0))</f>
        <v>Photography</v>
      </c>
      <c r="H335" s="16">
        <f>INDEX(Orders!$F$2:$F$201,MATCH(A335,Orders!$A$2:$A$201,0))</f>
        <v>202312</v>
      </c>
      <c r="I335" s="16" t="str">
        <f>INDEX(Orders!$E$2:$E$201,MATCH(A335,Orders!$A$2:$A$201,0))</f>
        <v>Delhi</v>
      </c>
    </row>
    <row r="336" spans="1:9" x14ac:dyDescent="0.3">
      <c r="A336" s="16">
        <v>132</v>
      </c>
      <c r="B336" s="16">
        <v>7</v>
      </c>
      <c r="C336" s="16">
        <v>1</v>
      </c>
      <c r="D336" s="17">
        <v>40000</v>
      </c>
      <c r="E336" s="17">
        <f t="shared" si="5"/>
        <v>40000</v>
      </c>
      <c r="F336" s="16" t="str">
        <f>INDEX(Products!$B$2:$B$9,MATCH(B336,Products!$A$2:$A$9,0))</f>
        <v>Digital SLR Camera</v>
      </c>
      <c r="G336" s="16" t="str">
        <f>INDEX(Products!$C$2:$C$9,MATCH(B336,Products!$A$2:$A$9,0))</f>
        <v>Photography</v>
      </c>
      <c r="H336" s="16">
        <f>INDEX(Orders!$F$2:$F$201,MATCH(A336,Orders!$A$2:$A$201,0))</f>
        <v>202309</v>
      </c>
      <c r="I336" s="16" t="str">
        <f>INDEX(Orders!$E$2:$E$201,MATCH(A336,Orders!$A$2:$A$201,0))</f>
        <v>Hyderabad</v>
      </c>
    </row>
    <row r="337" spans="1:9" x14ac:dyDescent="0.3">
      <c r="A337" s="16">
        <v>132</v>
      </c>
      <c r="B337" s="16">
        <v>8</v>
      </c>
      <c r="C337" s="16">
        <v>2</v>
      </c>
      <c r="D337" s="17">
        <v>3000</v>
      </c>
      <c r="E337" s="17">
        <f t="shared" si="5"/>
        <v>6000</v>
      </c>
      <c r="F337" s="16" t="str">
        <f>INDEX(Products!$B$2:$B$9,MATCH(B337,Products!$A$2:$A$9,0))</f>
        <v>Wireless Earbuds</v>
      </c>
      <c r="G337" s="16" t="str">
        <f>INDEX(Products!$C$2:$C$9,MATCH(B337,Products!$A$2:$A$9,0))</f>
        <v>Wearable Tech</v>
      </c>
      <c r="H337" s="16">
        <f>INDEX(Orders!$F$2:$F$201,MATCH(A337,Orders!$A$2:$A$201,0))</f>
        <v>202309</v>
      </c>
      <c r="I337" s="16" t="str">
        <f>INDEX(Orders!$E$2:$E$201,MATCH(A337,Orders!$A$2:$A$201,0))</f>
        <v>Hyderabad</v>
      </c>
    </row>
    <row r="338" spans="1:9" x14ac:dyDescent="0.3">
      <c r="A338" s="16">
        <v>132</v>
      </c>
      <c r="B338" s="16">
        <v>7</v>
      </c>
      <c r="C338" s="16">
        <v>1</v>
      </c>
      <c r="D338" s="17">
        <v>40000</v>
      </c>
      <c r="E338" s="17">
        <f t="shared" si="5"/>
        <v>40000</v>
      </c>
      <c r="F338" s="16" t="str">
        <f>INDEX(Products!$B$2:$B$9,MATCH(B338,Products!$A$2:$A$9,0))</f>
        <v>Digital SLR Camera</v>
      </c>
      <c r="G338" s="16" t="str">
        <f>INDEX(Products!$C$2:$C$9,MATCH(B338,Products!$A$2:$A$9,0))</f>
        <v>Photography</v>
      </c>
      <c r="H338" s="16">
        <f>INDEX(Orders!$F$2:$F$201,MATCH(A338,Orders!$A$2:$A$201,0))</f>
        <v>202309</v>
      </c>
      <c r="I338" s="16" t="str">
        <f>INDEX(Orders!$E$2:$E$201,MATCH(A338,Orders!$A$2:$A$201,0))</f>
        <v>Hyderabad</v>
      </c>
    </row>
    <row r="339" spans="1:9" x14ac:dyDescent="0.3">
      <c r="A339" s="16">
        <v>132</v>
      </c>
      <c r="B339" s="16">
        <v>5</v>
      </c>
      <c r="C339" s="16">
        <v>1</v>
      </c>
      <c r="D339" s="17">
        <v>5000</v>
      </c>
      <c r="E339" s="17">
        <f t="shared" si="5"/>
        <v>5000</v>
      </c>
      <c r="F339" s="16" t="str">
        <f>INDEX(Products!$B$2:$B$9,MATCH(B339,Products!$A$2:$A$9,0))</f>
        <v>Smartwatch Fitness Tracker</v>
      </c>
      <c r="G339" s="16" t="str">
        <f>INDEX(Products!$C$2:$C$9,MATCH(B339,Products!$A$2:$A$9,0))</f>
        <v>Wearable Tech</v>
      </c>
      <c r="H339" s="16">
        <f>INDEX(Orders!$F$2:$F$201,MATCH(A339,Orders!$A$2:$A$201,0))</f>
        <v>202309</v>
      </c>
      <c r="I339" s="16" t="str">
        <f>INDEX(Orders!$E$2:$E$201,MATCH(A339,Orders!$A$2:$A$201,0))</f>
        <v>Hyderabad</v>
      </c>
    </row>
    <row r="340" spans="1:9" x14ac:dyDescent="0.3">
      <c r="A340" s="16">
        <v>133</v>
      </c>
      <c r="B340" s="16">
        <v>6</v>
      </c>
      <c r="C340" s="16">
        <v>3</v>
      </c>
      <c r="D340" s="17">
        <v>7000</v>
      </c>
      <c r="E340" s="17">
        <f t="shared" si="5"/>
        <v>21000</v>
      </c>
      <c r="F340" s="16" t="str">
        <f>INDEX(Products!$B$2:$B$9,MATCH(B340,Products!$A$2:$A$9,0))</f>
        <v>Portable Bluetooth Speaker</v>
      </c>
      <c r="G340" s="16" t="str">
        <f>INDEX(Products!$C$2:$C$9,MATCH(B340,Products!$A$2:$A$9,0))</f>
        <v>Electronics</v>
      </c>
      <c r="H340" s="16">
        <f>INDEX(Orders!$F$2:$F$201,MATCH(A340,Orders!$A$2:$A$201,0))</f>
        <v>202304</v>
      </c>
      <c r="I340" s="16" t="str">
        <f>INDEX(Orders!$E$2:$E$201,MATCH(A340,Orders!$A$2:$A$201,0))</f>
        <v>Delhi</v>
      </c>
    </row>
    <row r="341" spans="1:9" x14ac:dyDescent="0.3">
      <c r="A341" s="16">
        <v>134</v>
      </c>
      <c r="B341" s="16">
        <v>7</v>
      </c>
      <c r="C341" s="16">
        <v>1</v>
      </c>
      <c r="D341" s="17">
        <v>40000</v>
      </c>
      <c r="E341" s="17">
        <f t="shared" si="5"/>
        <v>40000</v>
      </c>
      <c r="F341" s="16" t="str">
        <f>INDEX(Products!$B$2:$B$9,MATCH(B341,Products!$A$2:$A$9,0))</f>
        <v>Digital SLR Camera</v>
      </c>
      <c r="G341" s="16" t="str">
        <f>INDEX(Products!$C$2:$C$9,MATCH(B341,Products!$A$2:$A$9,0))</f>
        <v>Photography</v>
      </c>
      <c r="H341" s="16">
        <f>INDEX(Orders!$F$2:$F$201,MATCH(A341,Orders!$A$2:$A$201,0))</f>
        <v>202401</v>
      </c>
      <c r="I341" s="16" t="str">
        <f>INDEX(Orders!$E$2:$E$201,MATCH(A341,Orders!$A$2:$A$201,0))</f>
        <v>Hyderabad</v>
      </c>
    </row>
    <row r="342" spans="1:9" x14ac:dyDescent="0.3">
      <c r="A342" s="16">
        <v>134</v>
      </c>
      <c r="B342" s="16">
        <v>8</v>
      </c>
      <c r="C342" s="16">
        <v>1</v>
      </c>
      <c r="D342" s="17">
        <v>3000</v>
      </c>
      <c r="E342" s="17">
        <f t="shared" si="5"/>
        <v>3000</v>
      </c>
      <c r="F342" s="16" t="str">
        <f>INDEX(Products!$B$2:$B$9,MATCH(B342,Products!$A$2:$A$9,0))</f>
        <v>Wireless Earbuds</v>
      </c>
      <c r="G342" s="16" t="str">
        <f>INDEX(Products!$C$2:$C$9,MATCH(B342,Products!$A$2:$A$9,0))</f>
        <v>Wearable Tech</v>
      </c>
      <c r="H342" s="16">
        <f>INDEX(Orders!$F$2:$F$201,MATCH(A342,Orders!$A$2:$A$201,0))</f>
        <v>202401</v>
      </c>
      <c r="I342" s="16" t="str">
        <f>INDEX(Orders!$E$2:$E$201,MATCH(A342,Orders!$A$2:$A$201,0))</f>
        <v>Hyderabad</v>
      </c>
    </row>
    <row r="343" spans="1:9" x14ac:dyDescent="0.3">
      <c r="A343" s="16">
        <v>134</v>
      </c>
      <c r="B343" s="16">
        <v>4</v>
      </c>
      <c r="C343" s="16">
        <v>2</v>
      </c>
      <c r="D343" s="17">
        <v>12000</v>
      </c>
      <c r="E343" s="17">
        <f t="shared" si="5"/>
        <v>24000</v>
      </c>
      <c r="F343" s="16" t="str">
        <f>INDEX(Products!$B$2:$B$9,MATCH(B343,Products!$A$2:$A$9,0))</f>
        <v>E-Book Reader</v>
      </c>
      <c r="G343" s="16" t="str">
        <f>INDEX(Products!$C$2:$C$9,MATCH(B343,Products!$A$2:$A$9,0))</f>
        <v>Electronics</v>
      </c>
      <c r="H343" s="16">
        <f>INDEX(Orders!$F$2:$F$201,MATCH(A343,Orders!$A$2:$A$201,0))</f>
        <v>202401</v>
      </c>
      <c r="I343" s="16" t="str">
        <f>INDEX(Orders!$E$2:$E$201,MATCH(A343,Orders!$A$2:$A$201,0))</f>
        <v>Hyderabad</v>
      </c>
    </row>
    <row r="344" spans="1:9" x14ac:dyDescent="0.3">
      <c r="A344" s="16">
        <v>134</v>
      </c>
      <c r="B344" s="16">
        <v>7</v>
      </c>
      <c r="C344" s="16">
        <v>3</v>
      </c>
      <c r="D344" s="17">
        <v>40000</v>
      </c>
      <c r="E344" s="17">
        <f t="shared" si="5"/>
        <v>120000</v>
      </c>
      <c r="F344" s="16" t="str">
        <f>INDEX(Products!$B$2:$B$9,MATCH(B344,Products!$A$2:$A$9,0))</f>
        <v>Digital SLR Camera</v>
      </c>
      <c r="G344" s="16" t="str">
        <f>INDEX(Products!$C$2:$C$9,MATCH(B344,Products!$A$2:$A$9,0))</f>
        <v>Photography</v>
      </c>
      <c r="H344" s="16">
        <f>INDEX(Orders!$F$2:$F$201,MATCH(A344,Orders!$A$2:$A$201,0))</f>
        <v>202401</v>
      </c>
      <c r="I344" s="16" t="str">
        <f>INDEX(Orders!$E$2:$E$201,MATCH(A344,Orders!$A$2:$A$201,0))</f>
        <v>Hyderabad</v>
      </c>
    </row>
    <row r="345" spans="1:9" x14ac:dyDescent="0.3">
      <c r="A345" s="16">
        <v>135</v>
      </c>
      <c r="B345" s="16">
        <v>2</v>
      </c>
      <c r="C345" s="16">
        <v>2</v>
      </c>
      <c r="D345" s="17">
        <v>60000</v>
      </c>
      <c r="E345" s="17">
        <f t="shared" si="5"/>
        <v>120000</v>
      </c>
      <c r="F345" s="16" t="str">
        <f>INDEX(Products!$B$2:$B$9,MATCH(B345,Products!$A$2:$A$9,0))</f>
        <v>Laptop 15" Pro</v>
      </c>
      <c r="G345" s="16" t="str">
        <f>INDEX(Products!$C$2:$C$9,MATCH(B345,Products!$A$2:$A$9,0))</f>
        <v>Electronics</v>
      </c>
      <c r="H345" s="16">
        <f>INDEX(Orders!$F$2:$F$201,MATCH(A345,Orders!$A$2:$A$201,0))</f>
        <v>202305</v>
      </c>
      <c r="I345" s="16" t="str">
        <f>INDEX(Orders!$E$2:$E$201,MATCH(A345,Orders!$A$2:$A$201,0))</f>
        <v>Bangalore</v>
      </c>
    </row>
    <row r="346" spans="1:9" x14ac:dyDescent="0.3">
      <c r="A346" s="16">
        <v>135</v>
      </c>
      <c r="B346" s="16">
        <v>5</v>
      </c>
      <c r="C346" s="16">
        <v>3</v>
      </c>
      <c r="D346" s="17">
        <v>5000</v>
      </c>
      <c r="E346" s="17">
        <f t="shared" si="5"/>
        <v>15000</v>
      </c>
      <c r="F346" s="16" t="str">
        <f>INDEX(Products!$B$2:$B$9,MATCH(B346,Products!$A$2:$A$9,0))</f>
        <v>Smartwatch Fitness Tracker</v>
      </c>
      <c r="G346" s="16" t="str">
        <f>INDEX(Products!$C$2:$C$9,MATCH(B346,Products!$A$2:$A$9,0))</f>
        <v>Wearable Tech</v>
      </c>
      <c r="H346" s="16">
        <f>INDEX(Orders!$F$2:$F$201,MATCH(A346,Orders!$A$2:$A$201,0))</f>
        <v>202305</v>
      </c>
      <c r="I346" s="16" t="str">
        <f>INDEX(Orders!$E$2:$E$201,MATCH(A346,Orders!$A$2:$A$201,0))</f>
        <v>Bangalore</v>
      </c>
    </row>
    <row r="347" spans="1:9" x14ac:dyDescent="0.3">
      <c r="A347" s="16">
        <v>135</v>
      </c>
      <c r="B347" s="16">
        <v>3</v>
      </c>
      <c r="C347" s="16">
        <v>1</v>
      </c>
      <c r="D347" s="17">
        <v>8000</v>
      </c>
      <c r="E347" s="17">
        <f t="shared" si="5"/>
        <v>8000</v>
      </c>
      <c r="F347" s="16" t="str">
        <f>INDEX(Products!$B$2:$B$9,MATCH(B347,Products!$A$2:$A$9,0))</f>
        <v>Bluetooth Headphones</v>
      </c>
      <c r="G347" s="16" t="str">
        <f>INDEX(Products!$C$2:$C$9,MATCH(B347,Products!$A$2:$A$9,0))</f>
        <v>Electronics</v>
      </c>
      <c r="H347" s="16">
        <f>INDEX(Orders!$F$2:$F$201,MATCH(A347,Orders!$A$2:$A$201,0))</f>
        <v>202305</v>
      </c>
      <c r="I347" s="16" t="str">
        <f>INDEX(Orders!$E$2:$E$201,MATCH(A347,Orders!$A$2:$A$201,0))</f>
        <v>Bangalore</v>
      </c>
    </row>
    <row r="348" spans="1:9" x14ac:dyDescent="0.3">
      <c r="A348" s="16">
        <v>136</v>
      </c>
      <c r="B348" s="16">
        <v>3</v>
      </c>
      <c r="C348" s="16">
        <v>2</v>
      </c>
      <c r="D348" s="17">
        <v>8000</v>
      </c>
      <c r="E348" s="17">
        <f t="shared" si="5"/>
        <v>16000</v>
      </c>
      <c r="F348" s="16" t="str">
        <f>INDEX(Products!$B$2:$B$9,MATCH(B348,Products!$A$2:$A$9,0))</f>
        <v>Bluetooth Headphones</v>
      </c>
      <c r="G348" s="16" t="str">
        <f>INDEX(Products!$C$2:$C$9,MATCH(B348,Products!$A$2:$A$9,0))</f>
        <v>Electronics</v>
      </c>
      <c r="H348" s="16">
        <f>INDEX(Orders!$F$2:$F$201,MATCH(A348,Orders!$A$2:$A$201,0))</f>
        <v>202309</v>
      </c>
      <c r="I348" s="16" t="str">
        <f>INDEX(Orders!$E$2:$E$201,MATCH(A348,Orders!$A$2:$A$201,0))</f>
        <v>Jaipur</v>
      </c>
    </row>
    <row r="349" spans="1:9" x14ac:dyDescent="0.3">
      <c r="A349" s="16">
        <v>136</v>
      </c>
      <c r="B349" s="16">
        <v>6</v>
      </c>
      <c r="C349" s="16">
        <v>2</v>
      </c>
      <c r="D349" s="17">
        <v>7000</v>
      </c>
      <c r="E349" s="17">
        <f t="shared" si="5"/>
        <v>14000</v>
      </c>
      <c r="F349" s="16" t="str">
        <f>INDEX(Products!$B$2:$B$9,MATCH(B349,Products!$A$2:$A$9,0))</f>
        <v>Portable Bluetooth Speaker</v>
      </c>
      <c r="G349" s="16" t="str">
        <f>INDEX(Products!$C$2:$C$9,MATCH(B349,Products!$A$2:$A$9,0))</f>
        <v>Electronics</v>
      </c>
      <c r="H349" s="16">
        <f>INDEX(Orders!$F$2:$F$201,MATCH(A349,Orders!$A$2:$A$201,0))</f>
        <v>202309</v>
      </c>
      <c r="I349" s="16" t="str">
        <f>INDEX(Orders!$E$2:$E$201,MATCH(A349,Orders!$A$2:$A$201,0))</f>
        <v>Jaipur</v>
      </c>
    </row>
    <row r="350" spans="1:9" x14ac:dyDescent="0.3">
      <c r="A350" s="16">
        <v>136</v>
      </c>
      <c r="B350" s="16">
        <v>3</v>
      </c>
      <c r="C350" s="16">
        <v>2</v>
      </c>
      <c r="D350" s="17">
        <v>8000</v>
      </c>
      <c r="E350" s="17">
        <f t="shared" si="5"/>
        <v>16000</v>
      </c>
      <c r="F350" s="16" t="str">
        <f>INDEX(Products!$B$2:$B$9,MATCH(B350,Products!$A$2:$A$9,0))</f>
        <v>Bluetooth Headphones</v>
      </c>
      <c r="G350" s="16" t="str">
        <f>INDEX(Products!$C$2:$C$9,MATCH(B350,Products!$A$2:$A$9,0))</f>
        <v>Electronics</v>
      </c>
      <c r="H350" s="16">
        <f>INDEX(Orders!$F$2:$F$201,MATCH(A350,Orders!$A$2:$A$201,0))</f>
        <v>202309</v>
      </c>
      <c r="I350" s="16" t="str">
        <f>INDEX(Orders!$E$2:$E$201,MATCH(A350,Orders!$A$2:$A$201,0))</f>
        <v>Jaipur</v>
      </c>
    </row>
    <row r="351" spans="1:9" x14ac:dyDescent="0.3">
      <c r="A351" s="16">
        <v>136</v>
      </c>
      <c r="B351" s="16">
        <v>7</v>
      </c>
      <c r="C351" s="16">
        <v>2</v>
      </c>
      <c r="D351" s="17">
        <v>40000</v>
      </c>
      <c r="E351" s="17">
        <f t="shared" si="5"/>
        <v>80000</v>
      </c>
      <c r="F351" s="16" t="str">
        <f>INDEX(Products!$B$2:$B$9,MATCH(B351,Products!$A$2:$A$9,0))</f>
        <v>Digital SLR Camera</v>
      </c>
      <c r="G351" s="16" t="str">
        <f>INDEX(Products!$C$2:$C$9,MATCH(B351,Products!$A$2:$A$9,0))</f>
        <v>Photography</v>
      </c>
      <c r="H351" s="16">
        <f>INDEX(Orders!$F$2:$F$201,MATCH(A351,Orders!$A$2:$A$201,0))</f>
        <v>202309</v>
      </c>
      <c r="I351" s="16" t="str">
        <f>INDEX(Orders!$E$2:$E$201,MATCH(A351,Orders!$A$2:$A$201,0))</f>
        <v>Jaipur</v>
      </c>
    </row>
    <row r="352" spans="1:9" x14ac:dyDescent="0.3">
      <c r="A352" s="16">
        <v>137</v>
      </c>
      <c r="B352" s="16">
        <v>7</v>
      </c>
      <c r="C352" s="16">
        <v>2</v>
      </c>
      <c r="D352" s="17">
        <v>40000</v>
      </c>
      <c r="E352" s="17">
        <f t="shared" si="5"/>
        <v>80000</v>
      </c>
      <c r="F352" s="16" t="str">
        <f>INDEX(Products!$B$2:$B$9,MATCH(B352,Products!$A$2:$A$9,0))</f>
        <v>Digital SLR Camera</v>
      </c>
      <c r="G352" s="16" t="str">
        <f>INDEX(Products!$C$2:$C$9,MATCH(B352,Products!$A$2:$A$9,0))</f>
        <v>Photography</v>
      </c>
      <c r="H352" s="16">
        <f>INDEX(Orders!$F$2:$F$201,MATCH(A352,Orders!$A$2:$A$201,0))</f>
        <v>202305</v>
      </c>
      <c r="I352" s="16" t="str">
        <f>INDEX(Orders!$E$2:$E$201,MATCH(A352,Orders!$A$2:$A$201,0))</f>
        <v>Chennai</v>
      </c>
    </row>
    <row r="353" spans="1:9" x14ac:dyDescent="0.3">
      <c r="A353" s="16">
        <v>137</v>
      </c>
      <c r="B353" s="16">
        <v>6</v>
      </c>
      <c r="C353" s="16">
        <v>3</v>
      </c>
      <c r="D353" s="17">
        <v>7000</v>
      </c>
      <c r="E353" s="17">
        <f t="shared" si="5"/>
        <v>21000</v>
      </c>
      <c r="F353" s="16" t="str">
        <f>INDEX(Products!$B$2:$B$9,MATCH(B353,Products!$A$2:$A$9,0))</f>
        <v>Portable Bluetooth Speaker</v>
      </c>
      <c r="G353" s="16" t="str">
        <f>INDEX(Products!$C$2:$C$9,MATCH(B353,Products!$A$2:$A$9,0))</f>
        <v>Electronics</v>
      </c>
      <c r="H353" s="16">
        <f>INDEX(Orders!$F$2:$F$201,MATCH(A353,Orders!$A$2:$A$201,0))</f>
        <v>202305</v>
      </c>
      <c r="I353" s="16" t="str">
        <f>INDEX(Orders!$E$2:$E$201,MATCH(A353,Orders!$A$2:$A$201,0))</f>
        <v>Chennai</v>
      </c>
    </row>
    <row r="354" spans="1:9" x14ac:dyDescent="0.3">
      <c r="A354" s="16">
        <v>137</v>
      </c>
      <c r="B354" s="16">
        <v>7</v>
      </c>
      <c r="C354" s="16">
        <v>1</v>
      </c>
      <c r="D354" s="17">
        <v>40000</v>
      </c>
      <c r="E354" s="17">
        <f t="shared" si="5"/>
        <v>40000</v>
      </c>
      <c r="F354" s="16" t="str">
        <f>INDEX(Products!$B$2:$B$9,MATCH(B354,Products!$A$2:$A$9,0))</f>
        <v>Digital SLR Camera</v>
      </c>
      <c r="G354" s="16" t="str">
        <f>INDEX(Products!$C$2:$C$9,MATCH(B354,Products!$A$2:$A$9,0))</f>
        <v>Photography</v>
      </c>
      <c r="H354" s="16">
        <f>INDEX(Orders!$F$2:$F$201,MATCH(A354,Orders!$A$2:$A$201,0))</f>
        <v>202305</v>
      </c>
      <c r="I354" s="16" t="str">
        <f>INDEX(Orders!$E$2:$E$201,MATCH(A354,Orders!$A$2:$A$201,0))</f>
        <v>Chennai</v>
      </c>
    </row>
    <row r="355" spans="1:9" x14ac:dyDescent="0.3">
      <c r="A355" s="16">
        <v>137</v>
      </c>
      <c r="B355" s="16">
        <v>5</v>
      </c>
      <c r="C355" s="16">
        <v>2</v>
      </c>
      <c r="D355" s="17">
        <v>5000</v>
      </c>
      <c r="E355" s="17">
        <f t="shared" si="5"/>
        <v>10000</v>
      </c>
      <c r="F355" s="16" t="str">
        <f>INDEX(Products!$B$2:$B$9,MATCH(B355,Products!$A$2:$A$9,0))</f>
        <v>Smartwatch Fitness Tracker</v>
      </c>
      <c r="G355" s="16" t="str">
        <f>INDEX(Products!$C$2:$C$9,MATCH(B355,Products!$A$2:$A$9,0))</f>
        <v>Wearable Tech</v>
      </c>
      <c r="H355" s="16">
        <f>INDEX(Orders!$F$2:$F$201,MATCH(A355,Orders!$A$2:$A$201,0))</f>
        <v>202305</v>
      </c>
      <c r="I355" s="16" t="str">
        <f>INDEX(Orders!$E$2:$E$201,MATCH(A355,Orders!$A$2:$A$201,0))</f>
        <v>Chennai</v>
      </c>
    </row>
    <row r="356" spans="1:9" x14ac:dyDescent="0.3">
      <c r="A356" s="16">
        <v>138</v>
      </c>
      <c r="B356" s="16">
        <v>7</v>
      </c>
      <c r="C356" s="16">
        <v>2</v>
      </c>
      <c r="D356" s="17">
        <v>40000</v>
      </c>
      <c r="E356" s="17">
        <f t="shared" si="5"/>
        <v>80000</v>
      </c>
      <c r="F356" s="16" t="str">
        <f>INDEX(Products!$B$2:$B$9,MATCH(B356,Products!$A$2:$A$9,0))</f>
        <v>Digital SLR Camera</v>
      </c>
      <c r="G356" s="16" t="str">
        <f>INDEX(Products!$C$2:$C$9,MATCH(B356,Products!$A$2:$A$9,0))</f>
        <v>Photography</v>
      </c>
      <c r="H356" s="16">
        <f>INDEX(Orders!$F$2:$F$201,MATCH(A356,Orders!$A$2:$A$201,0))</f>
        <v>202311</v>
      </c>
      <c r="I356" s="16" t="str">
        <f>INDEX(Orders!$E$2:$E$201,MATCH(A356,Orders!$A$2:$A$201,0))</f>
        <v>Kolkata</v>
      </c>
    </row>
    <row r="357" spans="1:9" x14ac:dyDescent="0.3">
      <c r="A357" s="16">
        <v>138</v>
      </c>
      <c r="B357" s="16">
        <v>8</v>
      </c>
      <c r="C357" s="16">
        <v>1</v>
      </c>
      <c r="D357" s="17">
        <v>3000</v>
      </c>
      <c r="E357" s="17">
        <f t="shared" si="5"/>
        <v>3000</v>
      </c>
      <c r="F357" s="16" t="str">
        <f>INDEX(Products!$B$2:$B$9,MATCH(B357,Products!$A$2:$A$9,0))</f>
        <v>Wireless Earbuds</v>
      </c>
      <c r="G357" s="16" t="str">
        <f>INDEX(Products!$C$2:$C$9,MATCH(B357,Products!$A$2:$A$9,0))</f>
        <v>Wearable Tech</v>
      </c>
      <c r="H357" s="16">
        <f>INDEX(Orders!$F$2:$F$201,MATCH(A357,Orders!$A$2:$A$201,0))</f>
        <v>202311</v>
      </c>
      <c r="I357" s="16" t="str">
        <f>INDEX(Orders!$E$2:$E$201,MATCH(A357,Orders!$A$2:$A$201,0))</f>
        <v>Kolkata</v>
      </c>
    </row>
    <row r="358" spans="1:9" x14ac:dyDescent="0.3">
      <c r="A358" s="16">
        <v>139</v>
      </c>
      <c r="B358" s="16">
        <v>6</v>
      </c>
      <c r="C358" s="16">
        <v>3</v>
      </c>
      <c r="D358" s="17">
        <v>7000</v>
      </c>
      <c r="E358" s="17">
        <f t="shared" si="5"/>
        <v>21000</v>
      </c>
      <c r="F358" s="16" t="str">
        <f>INDEX(Products!$B$2:$B$9,MATCH(B358,Products!$A$2:$A$9,0))</f>
        <v>Portable Bluetooth Speaker</v>
      </c>
      <c r="G358" s="16" t="str">
        <f>INDEX(Products!$C$2:$C$9,MATCH(B358,Products!$A$2:$A$9,0))</f>
        <v>Electronics</v>
      </c>
      <c r="H358" s="16">
        <f>INDEX(Orders!$F$2:$F$201,MATCH(A358,Orders!$A$2:$A$201,0))</f>
        <v>202307</v>
      </c>
      <c r="I358" s="16" t="str">
        <f>INDEX(Orders!$E$2:$E$201,MATCH(A358,Orders!$A$2:$A$201,0))</f>
        <v>Chennai</v>
      </c>
    </row>
    <row r="359" spans="1:9" x14ac:dyDescent="0.3">
      <c r="A359" s="16">
        <v>140</v>
      </c>
      <c r="B359" s="16">
        <v>5</v>
      </c>
      <c r="C359" s="16">
        <v>3</v>
      </c>
      <c r="D359" s="17">
        <v>5000</v>
      </c>
      <c r="E359" s="17">
        <f t="shared" si="5"/>
        <v>15000</v>
      </c>
      <c r="F359" s="16" t="str">
        <f>INDEX(Products!$B$2:$B$9,MATCH(B359,Products!$A$2:$A$9,0))</f>
        <v>Smartwatch Fitness Tracker</v>
      </c>
      <c r="G359" s="16" t="str">
        <f>INDEX(Products!$C$2:$C$9,MATCH(B359,Products!$A$2:$A$9,0))</f>
        <v>Wearable Tech</v>
      </c>
      <c r="H359" s="16">
        <f>INDEX(Orders!$F$2:$F$201,MATCH(A359,Orders!$A$2:$A$201,0))</f>
        <v>202310</v>
      </c>
      <c r="I359" s="16" t="str">
        <f>INDEX(Orders!$E$2:$E$201,MATCH(A359,Orders!$A$2:$A$201,0))</f>
        <v>Hyderabad</v>
      </c>
    </row>
    <row r="360" spans="1:9" x14ac:dyDescent="0.3">
      <c r="A360" s="16">
        <v>140</v>
      </c>
      <c r="B360" s="16">
        <v>5</v>
      </c>
      <c r="C360" s="16">
        <v>2</v>
      </c>
      <c r="D360" s="17">
        <v>5000</v>
      </c>
      <c r="E360" s="17">
        <f t="shared" si="5"/>
        <v>10000</v>
      </c>
      <c r="F360" s="16" t="str">
        <f>INDEX(Products!$B$2:$B$9,MATCH(B360,Products!$A$2:$A$9,0))</f>
        <v>Smartwatch Fitness Tracker</v>
      </c>
      <c r="G360" s="16" t="str">
        <f>INDEX(Products!$C$2:$C$9,MATCH(B360,Products!$A$2:$A$9,0))</f>
        <v>Wearable Tech</v>
      </c>
      <c r="H360" s="16">
        <f>INDEX(Orders!$F$2:$F$201,MATCH(A360,Orders!$A$2:$A$201,0))</f>
        <v>202310</v>
      </c>
      <c r="I360" s="16" t="str">
        <f>INDEX(Orders!$E$2:$E$201,MATCH(A360,Orders!$A$2:$A$201,0))</f>
        <v>Hyderabad</v>
      </c>
    </row>
    <row r="361" spans="1:9" x14ac:dyDescent="0.3">
      <c r="A361" s="16">
        <v>140</v>
      </c>
      <c r="B361" s="16">
        <v>4</v>
      </c>
      <c r="C361" s="16">
        <v>2</v>
      </c>
      <c r="D361" s="17">
        <v>12000</v>
      </c>
      <c r="E361" s="17">
        <f t="shared" si="5"/>
        <v>24000</v>
      </c>
      <c r="F361" s="16" t="str">
        <f>INDEX(Products!$B$2:$B$9,MATCH(B361,Products!$A$2:$A$9,0))</f>
        <v>E-Book Reader</v>
      </c>
      <c r="G361" s="16" t="str">
        <f>INDEX(Products!$C$2:$C$9,MATCH(B361,Products!$A$2:$A$9,0))</f>
        <v>Electronics</v>
      </c>
      <c r="H361" s="16">
        <f>INDEX(Orders!$F$2:$F$201,MATCH(A361,Orders!$A$2:$A$201,0))</f>
        <v>202310</v>
      </c>
      <c r="I361" s="16" t="str">
        <f>INDEX(Orders!$E$2:$E$201,MATCH(A361,Orders!$A$2:$A$201,0))</f>
        <v>Hyderabad</v>
      </c>
    </row>
    <row r="362" spans="1:9" x14ac:dyDescent="0.3">
      <c r="A362" s="16">
        <v>140</v>
      </c>
      <c r="B362" s="16">
        <v>5</v>
      </c>
      <c r="C362" s="16">
        <v>3</v>
      </c>
      <c r="D362" s="17">
        <v>5000</v>
      </c>
      <c r="E362" s="17">
        <f t="shared" si="5"/>
        <v>15000</v>
      </c>
      <c r="F362" s="16" t="str">
        <f>INDEX(Products!$B$2:$B$9,MATCH(B362,Products!$A$2:$A$9,0))</f>
        <v>Smartwatch Fitness Tracker</v>
      </c>
      <c r="G362" s="16" t="str">
        <f>INDEX(Products!$C$2:$C$9,MATCH(B362,Products!$A$2:$A$9,0))</f>
        <v>Wearable Tech</v>
      </c>
      <c r="H362" s="16">
        <f>INDEX(Orders!$F$2:$F$201,MATCH(A362,Orders!$A$2:$A$201,0))</f>
        <v>202310</v>
      </c>
      <c r="I362" s="16" t="str">
        <f>INDEX(Orders!$E$2:$E$201,MATCH(A362,Orders!$A$2:$A$201,0))</f>
        <v>Hyderabad</v>
      </c>
    </row>
    <row r="363" spans="1:9" x14ac:dyDescent="0.3">
      <c r="A363" s="16">
        <v>141</v>
      </c>
      <c r="B363" s="16">
        <v>5</v>
      </c>
      <c r="C363" s="16">
        <v>3</v>
      </c>
      <c r="D363" s="17">
        <v>5000</v>
      </c>
      <c r="E363" s="17">
        <f t="shared" si="5"/>
        <v>15000</v>
      </c>
      <c r="F363" s="16" t="str">
        <f>INDEX(Products!$B$2:$B$9,MATCH(B363,Products!$A$2:$A$9,0))</f>
        <v>Smartwatch Fitness Tracker</v>
      </c>
      <c r="G363" s="16" t="str">
        <f>INDEX(Products!$C$2:$C$9,MATCH(B363,Products!$A$2:$A$9,0))</f>
        <v>Wearable Tech</v>
      </c>
      <c r="H363" s="16">
        <f>INDEX(Orders!$F$2:$F$201,MATCH(A363,Orders!$A$2:$A$201,0))</f>
        <v>202307</v>
      </c>
      <c r="I363" s="16" t="str">
        <f>INDEX(Orders!$E$2:$E$201,MATCH(A363,Orders!$A$2:$A$201,0))</f>
        <v>Kolkata</v>
      </c>
    </row>
    <row r="364" spans="1:9" x14ac:dyDescent="0.3">
      <c r="A364" s="16">
        <v>141</v>
      </c>
      <c r="B364" s="16">
        <v>5</v>
      </c>
      <c r="C364" s="16">
        <v>3</v>
      </c>
      <c r="D364" s="17">
        <v>5000</v>
      </c>
      <c r="E364" s="17">
        <f t="shared" si="5"/>
        <v>15000</v>
      </c>
      <c r="F364" s="16" t="str">
        <f>INDEX(Products!$B$2:$B$9,MATCH(B364,Products!$A$2:$A$9,0))</f>
        <v>Smartwatch Fitness Tracker</v>
      </c>
      <c r="G364" s="16" t="str">
        <f>INDEX(Products!$C$2:$C$9,MATCH(B364,Products!$A$2:$A$9,0))</f>
        <v>Wearable Tech</v>
      </c>
      <c r="H364" s="16">
        <f>INDEX(Orders!$F$2:$F$201,MATCH(A364,Orders!$A$2:$A$201,0))</f>
        <v>202307</v>
      </c>
      <c r="I364" s="16" t="str">
        <f>INDEX(Orders!$E$2:$E$201,MATCH(A364,Orders!$A$2:$A$201,0))</f>
        <v>Kolkata</v>
      </c>
    </row>
    <row r="365" spans="1:9" x14ac:dyDescent="0.3">
      <c r="A365" s="16">
        <v>141</v>
      </c>
      <c r="B365" s="16">
        <v>6</v>
      </c>
      <c r="C365" s="16">
        <v>3</v>
      </c>
      <c r="D365" s="17">
        <v>7000</v>
      </c>
      <c r="E365" s="17">
        <f t="shared" si="5"/>
        <v>21000</v>
      </c>
      <c r="F365" s="16" t="str">
        <f>INDEX(Products!$B$2:$B$9,MATCH(B365,Products!$A$2:$A$9,0))</f>
        <v>Portable Bluetooth Speaker</v>
      </c>
      <c r="G365" s="16" t="str">
        <f>INDEX(Products!$C$2:$C$9,MATCH(B365,Products!$A$2:$A$9,0))</f>
        <v>Electronics</v>
      </c>
      <c r="H365" s="16">
        <f>INDEX(Orders!$F$2:$F$201,MATCH(A365,Orders!$A$2:$A$201,0))</f>
        <v>202307</v>
      </c>
      <c r="I365" s="16" t="str">
        <f>INDEX(Orders!$E$2:$E$201,MATCH(A365,Orders!$A$2:$A$201,0))</f>
        <v>Kolkata</v>
      </c>
    </row>
    <row r="366" spans="1:9" x14ac:dyDescent="0.3">
      <c r="A366" s="16">
        <v>142</v>
      </c>
      <c r="B366" s="16">
        <v>5</v>
      </c>
      <c r="C366" s="16">
        <v>1</v>
      </c>
      <c r="D366" s="17">
        <v>5000</v>
      </c>
      <c r="E366" s="17">
        <f t="shared" si="5"/>
        <v>5000</v>
      </c>
      <c r="F366" s="16" t="str">
        <f>INDEX(Products!$B$2:$B$9,MATCH(B366,Products!$A$2:$A$9,0))</f>
        <v>Smartwatch Fitness Tracker</v>
      </c>
      <c r="G366" s="16" t="str">
        <f>INDEX(Products!$C$2:$C$9,MATCH(B366,Products!$A$2:$A$9,0))</f>
        <v>Wearable Tech</v>
      </c>
      <c r="H366" s="16">
        <f>INDEX(Orders!$F$2:$F$201,MATCH(A366,Orders!$A$2:$A$201,0))</f>
        <v>202304</v>
      </c>
      <c r="I366" s="16" t="str">
        <f>INDEX(Orders!$E$2:$E$201,MATCH(A366,Orders!$A$2:$A$201,0))</f>
        <v>Ahmedabad</v>
      </c>
    </row>
    <row r="367" spans="1:9" x14ac:dyDescent="0.3">
      <c r="A367" s="16">
        <v>142</v>
      </c>
      <c r="B367" s="16">
        <v>1</v>
      </c>
      <c r="C367" s="16">
        <v>2</v>
      </c>
      <c r="D367" s="17">
        <v>15000</v>
      </c>
      <c r="E367" s="17">
        <f t="shared" si="5"/>
        <v>30000</v>
      </c>
      <c r="F367" s="16" t="str">
        <f>INDEX(Products!$B$2:$B$9,MATCH(B367,Products!$A$2:$A$9,0))</f>
        <v>Smartphone 6"</v>
      </c>
      <c r="G367" s="16" t="str">
        <f>INDEX(Products!$C$2:$C$9,MATCH(B367,Products!$A$2:$A$9,0))</f>
        <v>Electronics</v>
      </c>
      <c r="H367" s="16">
        <f>INDEX(Orders!$F$2:$F$201,MATCH(A367,Orders!$A$2:$A$201,0))</f>
        <v>202304</v>
      </c>
      <c r="I367" s="16" t="str">
        <f>INDEX(Orders!$E$2:$E$201,MATCH(A367,Orders!$A$2:$A$201,0))</f>
        <v>Ahmedabad</v>
      </c>
    </row>
    <row r="368" spans="1:9" x14ac:dyDescent="0.3">
      <c r="A368" s="16">
        <v>142</v>
      </c>
      <c r="B368" s="16">
        <v>1</v>
      </c>
      <c r="C368" s="16">
        <v>1</v>
      </c>
      <c r="D368" s="17">
        <v>15000</v>
      </c>
      <c r="E368" s="17">
        <f t="shared" si="5"/>
        <v>15000</v>
      </c>
      <c r="F368" s="16" t="str">
        <f>INDEX(Products!$B$2:$B$9,MATCH(B368,Products!$A$2:$A$9,0))</f>
        <v>Smartphone 6"</v>
      </c>
      <c r="G368" s="16" t="str">
        <f>INDEX(Products!$C$2:$C$9,MATCH(B368,Products!$A$2:$A$9,0))</f>
        <v>Electronics</v>
      </c>
      <c r="H368" s="16">
        <f>INDEX(Orders!$F$2:$F$201,MATCH(A368,Orders!$A$2:$A$201,0))</f>
        <v>202304</v>
      </c>
      <c r="I368" s="16" t="str">
        <f>INDEX(Orders!$E$2:$E$201,MATCH(A368,Orders!$A$2:$A$201,0))</f>
        <v>Ahmedabad</v>
      </c>
    </row>
    <row r="369" spans="1:9" x14ac:dyDescent="0.3">
      <c r="A369" s="16">
        <v>143</v>
      </c>
      <c r="B369" s="16">
        <v>3</v>
      </c>
      <c r="C369" s="16">
        <v>3</v>
      </c>
      <c r="D369" s="17">
        <v>8000</v>
      </c>
      <c r="E369" s="17">
        <f t="shared" si="5"/>
        <v>24000</v>
      </c>
      <c r="F369" s="16" t="str">
        <f>INDEX(Products!$B$2:$B$9,MATCH(B369,Products!$A$2:$A$9,0))</f>
        <v>Bluetooth Headphones</v>
      </c>
      <c r="G369" s="16" t="str">
        <f>INDEX(Products!$C$2:$C$9,MATCH(B369,Products!$A$2:$A$9,0))</f>
        <v>Electronics</v>
      </c>
      <c r="H369" s="16">
        <f>INDEX(Orders!$F$2:$F$201,MATCH(A369,Orders!$A$2:$A$201,0))</f>
        <v>202305</v>
      </c>
      <c r="I369" s="16" t="str">
        <f>INDEX(Orders!$E$2:$E$201,MATCH(A369,Orders!$A$2:$A$201,0))</f>
        <v>Lucknow</v>
      </c>
    </row>
    <row r="370" spans="1:9" x14ac:dyDescent="0.3">
      <c r="A370" s="16">
        <v>143</v>
      </c>
      <c r="B370" s="16">
        <v>8</v>
      </c>
      <c r="C370" s="16">
        <v>3</v>
      </c>
      <c r="D370" s="17">
        <v>3000</v>
      </c>
      <c r="E370" s="17">
        <f t="shared" si="5"/>
        <v>9000</v>
      </c>
      <c r="F370" s="16" t="str">
        <f>INDEX(Products!$B$2:$B$9,MATCH(B370,Products!$A$2:$A$9,0))</f>
        <v>Wireless Earbuds</v>
      </c>
      <c r="G370" s="16" t="str">
        <f>INDEX(Products!$C$2:$C$9,MATCH(B370,Products!$A$2:$A$9,0))</f>
        <v>Wearable Tech</v>
      </c>
      <c r="H370" s="16">
        <f>INDEX(Orders!$F$2:$F$201,MATCH(A370,Orders!$A$2:$A$201,0))</f>
        <v>202305</v>
      </c>
      <c r="I370" s="16" t="str">
        <f>INDEX(Orders!$E$2:$E$201,MATCH(A370,Orders!$A$2:$A$201,0))</f>
        <v>Lucknow</v>
      </c>
    </row>
    <row r="371" spans="1:9" x14ac:dyDescent="0.3">
      <c r="A371" s="16">
        <v>144</v>
      </c>
      <c r="B371" s="16">
        <v>5</v>
      </c>
      <c r="C371" s="16">
        <v>3</v>
      </c>
      <c r="D371" s="17">
        <v>5000</v>
      </c>
      <c r="E371" s="17">
        <f t="shared" si="5"/>
        <v>15000</v>
      </c>
      <c r="F371" s="16" t="str">
        <f>INDEX(Products!$B$2:$B$9,MATCH(B371,Products!$A$2:$A$9,0))</f>
        <v>Smartwatch Fitness Tracker</v>
      </c>
      <c r="G371" s="16" t="str">
        <f>INDEX(Products!$C$2:$C$9,MATCH(B371,Products!$A$2:$A$9,0))</f>
        <v>Wearable Tech</v>
      </c>
      <c r="H371" s="16">
        <f>INDEX(Orders!$F$2:$F$201,MATCH(A371,Orders!$A$2:$A$201,0))</f>
        <v>202306</v>
      </c>
      <c r="I371" s="16" t="str">
        <f>INDEX(Orders!$E$2:$E$201,MATCH(A371,Orders!$A$2:$A$201,0))</f>
        <v>Chennai</v>
      </c>
    </row>
    <row r="372" spans="1:9" x14ac:dyDescent="0.3">
      <c r="A372" s="16">
        <v>144</v>
      </c>
      <c r="B372" s="16">
        <v>6</v>
      </c>
      <c r="C372" s="16">
        <v>1</v>
      </c>
      <c r="D372" s="17">
        <v>7000</v>
      </c>
      <c r="E372" s="17">
        <f t="shared" si="5"/>
        <v>7000</v>
      </c>
      <c r="F372" s="16" t="str">
        <f>INDEX(Products!$B$2:$B$9,MATCH(B372,Products!$A$2:$A$9,0))</f>
        <v>Portable Bluetooth Speaker</v>
      </c>
      <c r="G372" s="16" t="str">
        <f>INDEX(Products!$C$2:$C$9,MATCH(B372,Products!$A$2:$A$9,0))</f>
        <v>Electronics</v>
      </c>
      <c r="H372" s="16">
        <f>INDEX(Orders!$F$2:$F$201,MATCH(A372,Orders!$A$2:$A$201,0))</f>
        <v>202306</v>
      </c>
      <c r="I372" s="16" t="str">
        <f>INDEX(Orders!$E$2:$E$201,MATCH(A372,Orders!$A$2:$A$201,0))</f>
        <v>Chennai</v>
      </c>
    </row>
    <row r="373" spans="1:9" x14ac:dyDescent="0.3">
      <c r="A373" s="16">
        <v>144</v>
      </c>
      <c r="B373" s="16">
        <v>3</v>
      </c>
      <c r="C373" s="16">
        <v>1</v>
      </c>
      <c r="D373" s="17">
        <v>8000</v>
      </c>
      <c r="E373" s="17">
        <f t="shared" si="5"/>
        <v>8000</v>
      </c>
      <c r="F373" s="16" t="str">
        <f>INDEX(Products!$B$2:$B$9,MATCH(B373,Products!$A$2:$A$9,0))</f>
        <v>Bluetooth Headphones</v>
      </c>
      <c r="G373" s="16" t="str">
        <f>INDEX(Products!$C$2:$C$9,MATCH(B373,Products!$A$2:$A$9,0))</f>
        <v>Electronics</v>
      </c>
      <c r="H373" s="16">
        <f>INDEX(Orders!$F$2:$F$201,MATCH(A373,Orders!$A$2:$A$201,0))</f>
        <v>202306</v>
      </c>
      <c r="I373" s="16" t="str">
        <f>INDEX(Orders!$E$2:$E$201,MATCH(A373,Orders!$A$2:$A$201,0))</f>
        <v>Chennai</v>
      </c>
    </row>
    <row r="374" spans="1:9" x14ac:dyDescent="0.3">
      <c r="A374" s="16">
        <v>145</v>
      </c>
      <c r="B374" s="16">
        <v>4</v>
      </c>
      <c r="C374" s="16">
        <v>1</v>
      </c>
      <c r="D374" s="17">
        <v>12000</v>
      </c>
      <c r="E374" s="17">
        <f t="shared" si="5"/>
        <v>12000</v>
      </c>
      <c r="F374" s="16" t="str">
        <f>INDEX(Products!$B$2:$B$9,MATCH(B374,Products!$A$2:$A$9,0))</f>
        <v>E-Book Reader</v>
      </c>
      <c r="G374" s="16" t="str">
        <f>INDEX(Products!$C$2:$C$9,MATCH(B374,Products!$A$2:$A$9,0))</f>
        <v>Electronics</v>
      </c>
      <c r="H374" s="16">
        <f>INDEX(Orders!$F$2:$F$201,MATCH(A374,Orders!$A$2:$A$201,0))</f>
        <v>202309</v>
      </c>
      <c r="I374" s="16" t="str">
        <f>INDEX(Orders!$E$2:$E$201,MATCH(A374,Orders!$A$2:$A$201,0))</f>
        <v>Kolkata</v>
      </c>
    </row>
    <row r="375" spans="1:9" x14ac:dyDescent="0.3">
      <c r="A375" s="16">
        <v>145</v>
      </c>
      <c r="B375" s="16">
        <v>7</v>
      </c>
      <c r="C375" s="16">
        <v>3</v>
      </c>
      <c r="D375" s="17">
        <v>40000</v>
      </c>
      <c r="E375" s="17">
        <f t="shared" si="5"/>
        <v>120000</v>
      </c>
      <c r="F375" s="16" t="str">
        <f>INDEX(Products!$B$2:$B$9,MATCH(B375,Products!$A$2:$A$9,0))</f>
        <v>Digital SLR Camera</v>
      </c>
      <c r="G375" s="16" t="str">
        <f>INDEX(Products!$C$2:$C$9,MATCH(B375,Products!$A$2:$A$9,0))</f>
        <v>Photography</v>
      </c>
      <c r="H375" s="16">
        <f>INDEX(Orders!$F$2:$F$201,MATCH(A375,Orders!$A$2:$A$201,0))</f>
        <v>202309</v>
      </c>
      <c r="I375" s="16" t="str">
        <f>INDEX(Orders!$E$2:$E$201,MATCH(A375,Orders!$A$2:$A$201,0))</f>
        <v>Kolkata</v>
      </c>
    </row>
    <row r="376" spans="1:9" x14ac:dyDescent="0.3">
      <c r="A376" s="16">
        <v>146</v>
      </c>
      <c r="B376" s="16">
        <v>3</v>
      </c>
      <c r="C376" s="16">
        <v>2</v>
      </c>
      <c r="D376" s="17">
        <v>8000</v>
      </c>
      <c r="E376" s="17">
        <f t="shared" si="5"/>
        <v>16000</v>
      </c>
      <c r="F376" s="16" t="str">
        <f>INDEX(Products!$B$2:$B$9,MATCH(B376,Products!$A$2:$A$9,0))</f>
        <v>Bluetooth Headphones</v>
      </c>
      <c r="G376" s="16" t="str">
        <f>INDEX(Products!$C$2:$C$9,MATCH(B376,Products!$A$2:$A$9,0))</f>
        <v>Electronics</v>
      </c>
      <c r="H376" s="16">
        <f>INDEX(Orders!$F$2:$F$201,MATCH(A376,Orders!$A$2:$A$201,0))</f>
        <v>202312</v>
      </c>
      <c r="I376" s="16" t="str">
        <f>INDEX(Orders!$E$2:$E$201,MATCH(A376,Orders!$A$2:$A$201,0))</f>
        <v>Jaipur</v>
      </c>
    </row>
    <row r="377" spans="1:9" x14ac:dyDescent="0.3">
      <c r="A377" s="16">
        <v>146</v>
      </c>
      <c r="B377" s="16">
        <v>5</v>
      </c>
      <c r="C377" s="16">
        <v>3</v>
      </c>
      <c r="D377" s="17">
        <v>5000</v>
      </c>
      <c r="E377" s="17">
        <f t="shared" si="5"/>
        <v>15000</v>
      </c>
      <c r="F377" s="16" t="str">
        <f>INDEX(Products!$B$2:$B$9,MATCH(B377,Products!$A$2:$A$9,0))</f>
        <v>Smartwatch Fitness Tracker</v>
      </c>
      <c r="G377" s="16" t="str">
        <f>INDEX(Products!$C$2:$C$9,MATCH(B377,Products!$A$2:$A$9,0))</f>
        <v>Wearable Tech</v>
      </c>
      <c r="H377" s="16">
        <f>INDEX(Orders!$F$2:$F$201,MATCH(A377,Orders!$A$2:$A$201,0))</f>
        <v>202312</v>
      </c>
      <c r="I377" s="16" t="str">
        <f>INDEX(Orders!$E$2:$E$201,MATCH(A377,Orders!$A$2:$A$201,0))</f>
        <v>Jaipur</v>
      </c>
    </row>
    <row r="378" spans="1:9" x14ac:dyDescent="0.3">
      <c r="A378" s="16">
        <v>146</v>
      </c>
      <c r="B378" s="16">
        <v>6</v>
      </c>
      <c r="C378" s="16">
        <v>3</v>
      </c>
      <c r="D378" s="17">
        <v>7000</v>
      </c>
      <c r="E378" s="17">
        <f t="shared" si="5"/>
        <v>21000</v>
      </c>
      <c r="F378" s="16" t="str">
        <f>INDEX(Products!$B$2:$B$9,MATCH(B378,Products!$A$2:$A$9,0))</f>
        <v>Portable Bluetooth Speaker</v>
      </c>
      <c r="G378" s="16" t="str">
        <f>INDEX(Products!$C$2:$C$9,MATCH(B378,Products!$A$2:$A$9,0))</f>
        <v>Electronics</v>
      </c>
      <c r="H378" s="16">
        <f>INDEX(Orders!$F$2:$F$201,MATCH(A378,Orders!$A$2:$A$201,0))</f>
        <v>202312</v>
      </c>
      <c r="I378" s="16" t="str">
        <f>INDEX(Orders!$E$2:$E$201,MATCH(A378,Orders!$A$2:$A$201,0))</f>
        <v>Jaipur</v>
      </c>
    </row>
    <row r="379" spans="1:9" x14ac:dyDescent="0.3">
      <c r="A379" s="16">
        <v>146</v>
      </c>
      <c r="B379" s="16">
        <v>2</v>
      </c>
      <c r="C379" s="16">
        <v>1</v>
      </c>
      <c r="D379" s="17">
        <v>60000</v>
      </c>
      <c r="E379" s="17">
        <f t="shared" si="5"/>
        <v>60000</v>
      </c>
      <c r="F379" s="16" t="str">
        <f>INDEX(Products!$B$2:$B$9,MATCH(B379,Products!$A$2:$A$9,0))</f>
        <v>Laptop 15" Pro</v>
      </c>
      <c r="G379" s="16" t="str">
        <f>INDEX(Products!$C$2:$C$9,MATCH(B379,Products!$A$2:$A$9,0))</f>
        <v>Electronics</v>
      </c>
      <c r="H379" s="16">
        <f>INDEX(Orders!$F$2:$F$201,MATCH(A379,Orders!$A$2:$A$201,0))</f>
        <v>202312</v>
      </c>
      <c r="I379" s="16" t="str">
        <f>INDEX(Orders!$E$2:$E$201,MATCH(A379,Orders!$A$2:$A$201,0))</f>
        <v>Jaipur</v>
      </c>
    </row>
    <row r="380" spans="1:9" x14ac:dyDescent="0.3">
      <c r="A380" s="16">
        <v>147</v>
      </c>
      <c r="B380" s="16">
        <v>4</v>
      </c>
      <c r="C380" s="16">
        <v>2</v>
      </c>
      <c r="D380" s="17">
        <v>12000</v>
      </c>
      <c r="E380" s="17">
        <f t="shared" si="5"/>
        <v>24000</v>
      </c>
      <c r="F380" s="16" t="str">
        <f>INDEX(Products!$B$2:$B$9,MATCH(B380,Products!$A$2:$A$9,0))</f>
        <v>E-Book Reader</v>
      </c>
      <c r="G380" s="16" t="str">
        <f>INDEX(Products!$C$2:$C$9,MATCH(B380,Products!$A$2:$A$9,0))</f>
        <v>Electronics</v>
      </c>
      <c r="H380" s="16">
        <f>INDEX(Orders!$F$2:$F$201,MATCH(A380,Orders!$A$2:$A$201,0))</f>
        <v>202309</v>
      </c>
      <c r="I380" s="16" t="str">
        <f>INDEX(Orders!$E$2:$E$201,MATCH(A380,Orders!$A$2:$A$201,0))</f>
        <v>Ahmedabad</v>
      </c>
    </row>
    <row r="381" spans="1:9" x14ac:dyDescent="0.3">
      <c r="A381" s="16">
        <v>147</v>
      </c>
      <c r="B381" s="16">
        <v>3</v>
      </c>
      <c r="C381" s="16">
        <v>3</v>
      </c>
      <c r="D381" s="17">
        <v>8000</v>
      </c>
      <c r="E381" s="17">
        <f t="shared" si="5"/>
        <v>24000</v>
      </c>
      <c r="F381" s="16" t="str">
        <f>INDEX(Products!$B$2:$B$9,MATCH(B381,Products!$A$2:$A$9,0))</f>
        <v>Bluetooth Headphones</v>
      </c>
      <c r="G381" s="16" t="str">
        <f>INDEX(Products!$C$2:$C$9,MATCH(B381,Products!$A$2:$A$9,0))</f>
        <v>Electronics</v>
      </c>
      <c r="H381" s="16">
        <f>INDEX(Orders!$F$2:$F$201,MATCH(A381,Orders!$A$2:$A$201,0))</f>
        <v>202309</v>
      </c>
      <c r="I381" s="16" t="str">
        <f>INDEX(Orders!$E$2:$E$201,MATCH(A381,Orders!$A$2:$A$201,0))</f>
        <v>Ahmedabad</v>
      </c>
    </row>
    <row r="382" spans="1:9" x14ac:dyDescent="0.3">
      <c r="A382" s="16">
        <v>148</v>
      </c>
      <c r="B382" s="16">
        <v>2</v>
      </c>
      <c r="C382" s="16">
        <v>2</v>
      </c>
      <c r="D382" s="17">
        <v>60000</v>
      </c>
      <c r="E382" s="17">
        <f t="shared" si="5"/>
        <v>120000</v>
      </c>
      <c r="F382" s="16" t="str">
        <f>INDEX(Products!$B$2:$B$9,MATCH(B382,Products!$A$2:$A$9,0))</f>
        <v>Laptop 15" Pro</v>
      </c>
      <c r="G382" s="16" t="str">
        <f>INDEX(Products!$C$2:$C$9,MATCH(B382,Products!$A$2:$A$9,0))</f>
        <v>Electronics</v>
      </c>
      <c r="H382" s="16">
        <f>INDEX(Orders!$F$2:$F$201,MATCH(A382,Orders!$A$2:$A$201,0))</f>
        <v>202401</v>
      </c>
      <c r="I382" s="16" t="str">
        <f>INDEX(Orders!$E$2:$E$201,MATCH(A382,Orders!$A$2:$A$201,0))</f>
        <v>Mumbai</v>
      </c>
    </row>
    <row r="383" spans="1:9" x14ac:dyDescent="0.3">
      <c r="A383" s="16">
        <v>148</v>
      </c>
      <c r="B383" s="16">
        <v>2</v>
      </c>
      <c r="C383" s="16">
        <v>3</v>
      </c>
      <c r="D383" s="17">
        <v>60000</v>
      </c>
      <c r="E383" s="17">
        <f t="shared" si="5"/>
        <v>180000</v>
      </c>
      <c r="F383" s="16" t="str">
        <f>INDEX(Products!$B$2:$B$9,MATCH(B383,Products!$A$2:$A$9,0))</f>
        <v>Laptop 15" Pro</v>
      </c>
      <c r="G383" s="16" t="str">
        <f>INDEX(Products!$C$2:$C$9,MATCH(B383,Products!$A$2:$A$9,0))</f>
        <v>Electronics</v>
      </c>
      <c r="H383" s="16">
        <f>INDEX(Orders!$F$2:$F$201,MATCH(A383,Orders!$A$2:$A$201,0))</f>
        <v>202401</v>
      </c>
      <c r="I383" s="16" t="str">
        <f>INDEX(Orders!$E$2:$E$201,MATCH(A383,Orders!$A$2:$A$201,0))</f>
        <v>Mumbai</v>
      </c>
    </row>
    <row r="384" spans="1:9" x14ac:dyDescent="0.3">
      <c r="A384" s="16">
        <v>148</v>
      </c>
      <c r="B384" s="16">
        <v>6</v>
      </c>
      <c r="C384" s="16">
        <v>2</v>
      </c>
      <c r="D384" s="17">
        <v>7000</v>
      </c>
      <c r="E384" s="17">
        <f t="shared" si="5"/>
        <v>14000</v>
      </c>
      <c r="F384" s="16" t="str">
        <f>INDEX(Products!$B$2:$B$9,MATCH(B384,Products!$A$2:$A$9,0))</f>
        <v>Portable Bluetooth Speaker</v>
      </c>
      <c r="G384" s="16" t="str">
        <f>INDEX(Products!$C$2:$C$9,MATCH(B384,Products!$A$2:$A$9,0))</f>
        <v>Electronics</v>
      </c>
      <c r="H384" s="16">
        <f>INDEX(Orders!$F$2:$F$201,MATCH(A384,Orders!$A$2:$A$201,0))</f>
        <v>202401</v>
      </c>
      <c r="I384" s="16" t="str">
        <f>INDEX(Orders!$E$2:$E$201,MATCH(A384,Orders!$A$2:$A$201,0))</f>
        <v>Mumbai</v>
      </c>
    </row>
    <row r="385" spans="1:9" x14ac:dyDescent="0.3">
      <c r="A385" s="16">
        <v>148</v>
      </c>
      <c r="B385" s="16">
        <v>6</v>
      </c>
      <c r="C385" s="16">
        <v>2</v>
      </c>
      <c r="D385" s="17">
        <v>7000</v>
      </c>
      <c r="E385" s="17">
        <f t="shared" si="5"/>
        <v>14000</v>
      </c>
      <c r="F385" s="16" t="str">
        <f>INDEX(Products!$B$2:$B$9,MATCH(B385,Products!$A$2:$A$9,0))</f>
        <v>Portable Bluetooth Speaker</v>
      </c>
      <c r="G385" s="16" t="str">
        <f>INDEX(Products!$C$2:$C$9,MATCH(B385,Products!$A$2:$A$9,0))</f>
        <v>Electronics</v>
      </c>
      <c r="H385" s="16">
        <f>INDEX(Orders!$F$2:$F$201,MATCH(A385,Orders!$A$2:$A$201,0))</f>
        <v>202401</v>
      </c>
      <c r="I385" s="16" t="str">
        <f>INDEX(Orders!$E$2:$E$201,MATCH(A385,Orders!$A$2:$A$201,0))</f>
        <v>Mumbai</v>
      </c>
    </row>
    <row r="386" spans="1:9" x14ac:dyDescent="0.3">
      <c r="A386" s="16">
        <v>149</v>
      </c>
      <c r="B386" s="16">
        <v>2</v>
      </c>
      <c r="C386" s="16">
        <v>1</v>
      </c>
      <c r="D386" s="17">
        <v>60000</v>
      </c>
      <c r="E386" s="17">
        <f t="shared" ref="E386:E449" si="6">C386*D386</f>
        <v>60000</v>
      </c>
      <c r="F386" s="16" t="str">
        <f>INDEX(Products!$B$2:$B$9,MATCH(B386,Products!$A$2:$A$9,0))</f>
        <v>Laptop 15" Pro</v>
      </c>
      <c r="G386" s="16" t="str">
        <f>INDEX(Products!$C$2:$C$9,MATCH(B386,Products!$A$2:$A$9,0))</f>
        <v>Electronics</v>
      </c>
      <c r="H386" s="16">
        <f>INDEX(Orders!$F$2:$F$201,MATCH(A386,Orders!$A$2:$A$201,0))</f>
        <v>202401</v>
      </c>
      <c r="I386" s="16" t="str">
        <f>INDEX(Orders!$E$2:$E$201,MATCH(A386,Orders!$A$2:$A$201,0))</f>
        <v>Bangalore</v>
      </c>
    </row>
    <row r="387" spans="1:9" x14ac:dyDescent="0.3">
      <c r="A387" s="16">
        <v>149</v>
      </c>
      <c r="B387" s="16">
        <v>1</v>
      </c>
      <c r="C387" s="16">
        <v>1</v>
      </c>
      <c r="D387" s="17">
        <v>15000</v>
      </c>
      <c r="E387" s="17">
        <f t="shared" si="6"/>
        <v>15000</v>
      </c>
      <c r="F387" s="16" t="str">
        <f>INDEX(Products!$B$2:$B$9,MATCH(B387,Products!$A$2:$A$9,0))</f>
        <v>Smartphone 6"</v>
      </c>
      <c r="G387" s="16" t="str">
        <f>INDEX(Products!$C$2:$C$9,MATCH(B387,Products!$A$2:$A$9,0))</f>
        <v>Electronics</v>
      </c>
      <c r="H387" s="16">
        <f>INDEX(Orders!$F$2:$F$201,MATCH(A387,Orders!$A$2:$A$201,0))</f>
        <v>202401</v>
      </c>
      <c r="I387" s="16" t="str">
        <f>INDEX(Orders!$E$2:$E$201,MATCH(A387,Orders!$A$2:$A$201,0))</f>
        <v>Bangalore</v>
      </c>
    </row>
    <row r="388" spans="1:9" x14ac:dyDescent="0.3">
      <c r="A388" s="16">
        <v>149</v>
      </c>
      <c r="B388" s="16">
        <v>1</v>
      </c>
      <c r="C388" s="16">
        <v>2</v>
      </c>
      <c r="D388" s="17">
        <v>15000</v>
      </c>
      <c r="E388" s="17">
        <f t="shared" si="6"/>
        <v>30000</v>
      </c>
      <c r="F388" s="16" t="str">
        <f>INDEX(Products!$B$2:$B$9,MATCH(B388,Products!$A$2:$A$9,0))</f>
        <v>Smartphone 6"</v>
      </c>
      <c r="G388" s="16" t="str">
        <f>INDEX(Products!$C$2:$C$9,MATCH(B388,Products!$A$2:$A$9,0))</f>
        <v>Electronics</v>
      </c>
      <c r="H388" s="16">
        <f>INDEX(Orders!$F$2:$F$201,MATCH(A388,Orders!$A$2:$A$201,0))</f>
        <v>202401</v>
      </c>
      <c r="I388" s="16" t="str">
        <f>INDEX(Orders!$E$2:$E$201,MATCH(A388,Orders!$A$2:$A$201,0))</f>
        <v>Bangalore</v>
      </c>
    </row>
    <row r="389" spans="1:9" x14ac:dyDescent="0.3">
      <c r="A389" s="16">
        <v>149</v>
      </c>
      <c r="B389" s="16">
        <v>5</v>
      </c>
      <c r="C389" s="16">
        <v>3</v>
      </c>
      <c r="D389" s="17">
        <v>5000</v>
      </c>
      <c r="E389" s="17">
        <f t="shared" si="6"/>
        <v>15000</v>
      </c>
      <c r="F389" s="16" t="str">
        <f>INDEX(Products!$B$2:$B$9,MATCH(B389,Products!$A$2:$A$9,0))</f>
        <v>Smartwatch Fitness Tracker</v>
      </c>
      <c r="G389" s="16" t="str">
        <f>INDEX(Products!$C$2:$C$9,MATCH(B389,Products!$A$2:$A$9,0))</f>
        <v>Wearable Tech</v>
      </c>
      <c r="H389" s="16">
        <f>INDEX(Orders!$F$2:$F$201,MATCH(A389,Orders!$A$2:$A$201,0))</f>
        <v>202401</v>
      </c>
      <c r="I389" s="16" t="str">
        <f>INDEX(Orders!$E$2:$E$201,MATCH(A389,Orders!$A$2:$A$201,0))</f>
        <v>Bangalore</v>
      </c>
    </row>
    <row r="390" spans="1:9" x14ac:dyDescent="0.3">
      <c r="A390" s="16">
        <v>150</v>
      </c>
      <c r="B390" s="16">
        <v>5</v>
      </c>
      <c r="C390" s="16">
        <v>2</v>
      </c>
      <c r="D390" s="17">
        <v>5000</v>
      </c>
      <c r="E390" s="17">
        <f t="shared" si="6"/>
        <v>10000</v>
      </c>
      <c r="F390" s="16" t="str">
        <f>INDEX(Products!$B$2:$B$9,MATCH(B390,Products!$A$2:$A$9,0))</f>
        <v>Smartwatch Fitness Tracker</v>
      </c>
      <c r="G390" s="16" t="str">
        <f>INDEX(Products!$C$2:$C$9,MATCH(B390,Products!$A$2:$A$9,0))</f>
        <v>Wearable Tech</v>
      </c>
      <c r="H390" s="16">
        <f>INDEX(Orders!$F$2:$F$201,MATCH(A390,Orders!$A$2:$A$201,0))</f>
        <v>202310</v>
      </c>
      <c r="I390" s="16" t="str">
        <f>INDEX(Orders!$E$2:$E$201,MATCH(A390,Orders!$A$2:$A$201,0))</f>
        <v>Pune</v>
      </c>
    </row>
    <row r="391" spans="1:9" x14ac:dyDescent="0.3">
      <c r="A391" s="16">
        <v>150</v>
      </c>
      <c r="B391" s="16">
        <v>7</v>
      </c>
      <c r="C391" s="16">
        <v>2</v>
      </c>
      <c r="D391" s="17">
        <v>40000</v>
      </c>
      <c r="E391" s="17">
        <f t="shared" si="6"/>
        <v>80000</v>
      </c>
      <c r="F391" s="16" t="str">
        <f>INDEX(Products!$B$2:$B$9,MATCH(B391,Products!$A$2:$A$9,0))</f>
        <v>Digital SLR Camera</v>
      </c>
      <c r="G391" s="16" t="str">
        <f>INDEX(Products!$C$2:$C$9,MATCH(B391,Products!$A$2:$A$9,0))</f>
        <v>Photography</v>
      </c>
      <c r="H391" s="16">
        <f>INDEX(Orders!$F$2:$F$201,MATCH(A391,Orders!$A$2:$A$201,0))</f>
        <v>202310</v>
      </c>
      <c r="I391" s="16" t="str">
        <f>INDEX(Orders!$E$2:$E$201,MATCH(A391,Orders!$A$2:$A$201,0))</f>
        <v>Pune</v>
      </c>
    </row>
    <row r="392" spans="1:9" x14ac:dyDescent="0.3">
      <c r="A392" s="16">
        <v>150</v>
      </c>
      <c r="B392" s="16">
        <v>4</v>
      </c>
      <c r="C392" s="16">
        <v>2</v>
      </c>
      <c r="D392" s="17">
        <v>12000</v>
      </c>
      <c r="E392" s="17">
        <f t="shared" si="6"/>
        <v>24000</v>
      </c>
      <c r="F392" s="16" t="str">
        <f>INDEX(Products!$B$2:$B$9,MATCH(B392,Products!$A$2:$A$9,0))</f>
        <v>E-Book Reader</v>
      </c>
      <c r="G392" s="16" t="str">
        <f>INDEX(Products!$C$2:$C$9,MATCH(B392,Products!$A$2:$A$9,0))</f>
        <v>Electronics</v>
      </c>
      <c r="H392" s="16">
        <f>INDEX(Orders!$F$2:$F$201,MATCH(A392,Orders!$A$2:$A$201,0))</f>
        <v>202310</v>
      </c>
      <c r="I392" s="16" t="str">
        <f>INDEX(Orders!$E$2:$E$201,MATCH(A392,Orders!$A$2:$A$201,0))</f>
        <v>Pune</v>
      </c>
    </row>
    <row r="393" spans="1:9" x14ac:dyDescent="0.3">
      <c r="A393" s="16">
        <v>150</v>
      </c>
      <c r="B393" s="16">
        <v>6</v>
      </c>
      <c r="C393" s="16">
        <v>1</v>
      </c>
      <c r="D393" s="17">
        <v>7000</v>
      </c>
      <c r="E393" s="17">
        <f t="shared" si="6"/>
        <v>7000</v>
      </c>
      <c r="F393" s="16" t="str">
        <f>INDEX(Products!$B$2:$B$9,MATCH(B393,Products!$A$2:$A$9,0))</f>
        <v>Portable Bluetooth Speaker</v>
      </c>
      <c r="G393" s="16" t="str">
        <f>INDEX(Products!$C$2:$C$9,MATCH(B393,Products!$A$2:$A$9,0))</f>
        <v>Electronics</v>
      </c>
      <c r="H393" s="16">
        <f>INDEX(Orders!$F$2:$F$201,MATCH(A393,Orders!$A$2:$A$201,0))</f>
        <v>202310</v>
      </c>
      <c r="I393" s="16" t="str">
        <f>INDEX(Orders!$E$2:$E$201,MATCH(A393,Orders!$A$2:$A$201,0))</f>
        <v>Pune</v>
      </c>
    </row>
    <row r="394" spans="1:9" x14ac:dyDescent="0.3">
      <c r="A394" s="16">
        <v>151</v>
      </c>
      <c r="B394" s="16">
        <v>8</v>
      </c>
      <c r="C394" s="16">
        <v>1</v>
      </c>
      <c r="D394" s="17">
        <v>3000</v>
      </c>
      <c r="E394" s="17">
        <f t="shared" si="6"/>
        <v>3000</v>
      </c>
      <c r="F394" s="16" t="str">
        <f>INDEX(Products!$B$2:$B$9,MATCH(B394,Products!$A$2:$A$9,0))</f>
        <v>Wireless Earbuds</v>
      </c>
      <c r="G394" s="16" t="str">
        <f>INDEX(Products!$C$2:$C$9,MATCH(B394,Products!$A$2:$A$9,0))</f>
        <v>Wearable Tech</v>
      </c>
      <c r="H394" s="16">
        <f>INDEX(Orders!$F$2:$F$201,MATCH(A394,Orders!$A$2:$A$201,0))</f>
        <v>202312</v>
      </c>
      <c r="I394" s="16" t="str">
        <f>INDEX(Orders!$E$2:$E$201,MATCH(A394,Orders!$A$2:$A$201,0))</f>
        <v>Lucknow</v>
      </c>
    </row>
    <row r="395" spans="1:9" x14ac:dyDescent="0.3">
      <c r="A395" s="16">
        <v>151</v>
      </c>
      <c r="B395" s="16">
        <v>5</v>
      </c>
      <c r="C395" s="16">
        <v>1</v>
      </c>
      <c r="D395" s="17">
        <v>5000</v>
      </c>
      <c r="E395" s="17">
        <f t="shared" si="6"/>
        <v>5000</v>
      </c>
      <c r="F395" s="16" t="str">
        <f>INDEX(Products!$B$2:$B$9,MATCH(B395,Products!$A$2:$A$9,0))</f>
        <v>Smartwatch Fitness Tracker</v>
      </c>
      <c r="G395" s="16" t="str">
        <f>INDEX(Products!$C$2:$C$9,MATCH(B395,Products!$A$2:$A$9,0))</f>
        <v>Wearable Tech</v>
      </c>
      <c r="H395" s="16">
        <f>INDEX(Orders!$F$2:$F$201,MATCH(A395,Orders!$A$2:$A$201,0))</f>
        <v>202312</v>
      </c>
      <c r="I395" s="16" t="str">
        <f>INDEX(Orders!$E$2:$E$201,MATCH(A395,Orders!$A$2:$A$201,0))</f>
        <v>Lucknow</v>
      </c>
    </row>
    <row r="396" spans="1:9" x14ac:dyDescent="0.3">
      <c r="A396" s="16">
        <v>152</v>
      </c>
      <c r="B396" s="16">
        <v>4</v>
      </c>
      <c r="C396" s="16">
        <v>3</v>
      </c>
      <c r="D396" s="17">
        <v>12000</v>
      </c>
      <c r="E396" s="17">
        <f t="shared" si="6"/>
        <v>36000</v>
      </c>
      <c r="F396" s="16" t="str">
        <f>INDEX(Products!$B$2:$B$9,MATCH(B396,Products!$A$2:$A$9,0))</f>
        <v>E-Book Reader</v>
      </c>
      <c r="G396" s="16" t="str">
        <f>INDEX(Products!$C$2:$C$9,MATCH(B396,Products!$A$2:$A$9,0))</f>
        <v>Electronics</v>
      </c>
      <c r="H396" s="16">
        <f>INDEX(Orders!$F$2:$F$201,MATCH(A396,Orders!$A$2:$A$201,0))</f>
        <v>202312</v>
      </c>
      <c r="I396" s="16" t="str">
        <f>INDEX(Orders!$E$2:$E$201,MATCH(A396,Orders!$A$2:$A$201,0))</f>
        <v>Hyderabad</v>
      </c>
    </row>
    <row r="397" spans="1:9" x14ac:dyDescent="0.3">
      <c r="A397" s="16">
        <v>153</v>
      </c>
      <c r="B397" s="16">
        <v>1</v>
      </c>
      <c r="C397" s="16">
        <v>1</v>
      </c>
      <c r="D397" s="17">
        <v>15000</v>
      </c>
      <c r="E397" s="17">
        <f t="shared" si="6"/>
        <v>15000</v>
      </c>
      <c r="F397" s="16" t="str">
        <f>INDEX(Products!$B$2:$B$9,MATCH(B397,Products!$A$2:$A$9,0))</f>
        <v>Smartphone 6"</v>
      </c>
      <c r="G397" s="16" t="str">
        <f>INDEX(Products!$C$2:$C$9,MATCH(B397,Products!$A$2:$A$9,0))</f>
        <v>Electronics</v>
      </c>
      <c r="H397" s="16">
        <f>INDEX(Orders!$F$2:$F$201,MATCH(A397,Orders!$A$2:$A$201,0))</f>
        <v>202310</v>
      </c>
      <c r="I397" s="16" t="str">
        <f>INDEX(Orders!$E$2:$E$201,MATCH(A397,Orders!$A$2:$A$201,0))</f>
        <v>Pune</v>
      </c>
    </row>
    <row r="398" spans="1:9" x14ac:dyDescent="0.3">
      <c r="A398" s="16">
        <v>153</v>
      </c>
      <c r="B398" s="16">
        <v>8</v>
      </c>
      <c r="C398" s="16">
        <v>2</v>
      </c>
      <c r="D398" s="17">
        <v>3000</v>
      </c>
      <c r="E398" s="17">
        <f t="shared" si="6"/>
        <v>6000</v>
      </c>
      <c r="F398" s="16" t="str">
        <f>INDEX(Products!$B$2:$B$9,MATCH(B398,Products!$A$2:$A$9,0))</f>
        <v>Wireless Earbuds</v>
      </c>
      <c r="G398" s="16" t="str">
        <f>INDEX(Products!$C$2:$C$9,MATCH(B398,Products!$A$2:$A$9,0))</f>
        <v>Wearable Tech</v>
      </c>
      <c r="H398" s="16">
        <f>INDEX(Orders!$F$2:$F$201,MATCH(A398,Orders!$A$2:$A$201,0))</f>
        <v>202310</v>
      </c>
      <c r="I398" s="16" t="str">
        <f>INDEX(Orders!$E$2:$E$201,MATCH(A398,Orders!$A$2:$A$201,0))</f>
        <v>Pune</v>
      </c>
    </row>
    <row r="399" spans="1:9" x14ac:dyDescent="0.3">
      <c r="A399" s="16">
        <v>153</v>
      </c>
      <c r="B399" s="16">
        <v>4</v>
      </c>
      <c r="C399" s="16">
        <v>1</v>
      </c>
      <c r="D399" s="17">
        <v>12000</v>
      </c>
      <c r="E399" s="17">
        <f t="shared" si="6"/>
        <v>12000</v>
      </c>
      <c r="F399" s="16" t="str">
        <f>INDEX(Products!$B$2:$B$9,MATCH(B399,Products!$A$2:$A$9,0))</f>
        <v>E-Book Reader</v>
      </c>
      <c r="G399" s="16" t="str">
        <f>INDEX(Products!$C$2:$C$9,MATCH(B399,Products!$A$2:$A$9,0))</f>
        <v>Electronics</v>
      </c>
      <c r="H399" s="16">
        <f>INDEX(Orders!$F$2:$F$201,MATCH(A399,Orders!$A$2:$A$201,0))</f>
        <v>202310</v>
      </c>
      <c r="I399" s="16" t="str">
        <f>INDEX(Orders!$E$2:$E$201,MATCH(A399,Orders!$A$2:$A$201,0))</f>
        <v>Pune</v>
      </c>
    </row>
    <row r="400" spans="1:9" x14ac:dyDescent="0.3">
      <c r="A400" s="16">
        <v>154</v>
      </c>
      <c r="B400" s="16">
        <v>7</v>
      </c>
      <c r="C400" s="16">
        <v>2</v>
      </c>
      <c r="D400" s="17">
        <v>40000</v>
      </c>
      <c r="E400" s="17">
        <f t="shared" si="6"/>
        <v>80000</v>
      </c>
      <c r="F400" s="16" t="str">
        <f>INDEX(Products!$B$2:$B$9,MATCH(B400,Products!$A$2:$A$9,0))</f>
        <v>Digital SLR Camera</v>
      </c>
      <c r="G400" s="16" t="str">
        <f>INDEX(Products!$C$2:$C$9,MATCH(B400,Products!$A$2:$A$9,0))</f>
        <v>Photography</v>
      </c>
      <c r="H400" s="16">
        <f>INDEX(Orders!$F$2:$F$201,MATCH(A400,Orders!$A$2:$A$201,0))</f>
        <v>202303</v>
      </c>
      <c r="I400" s="16" t="str">
        <f>INDEX(Orders!$E$2:$E$201,MATCH(A400,Orders!$A$2:$A$201,0))</f>
        <v>Lucknow</v>
      </c>
    </row>
    <row r="401" spans="1:9" x14ac:dyDescent="0.3">
      <c r="A401" s="16">
        <v>154</v>
      </c>
      <c r="B401" s="16">
        <v>3</v>
      </c>
      <c r="C401" s="16">
        <v>1</v>
      </c>
      <c r="D401" s="17">
        <v>8000</v>
      </c>
      <c r="E401" s="17">
        <f t="shared" si="6"/>
        <v>8000</v>
      </c>
      <c r="F401" s="16" t="str">
        <f>INDEX(Products!$B$2:$B$9,MATCH(B401,Products!$A$2:$A$9,0))</f>
        <v>Bluetooth Headphones</v>
      </c>
      <c r="G401" s="16" t="str">
        <f>INDEX(Products!$C$2:$C$9,MATCH(B401,Products!$A$2:$A$9,0))</f>
        <v>Electronics</v>
      </c>
      <c r="H401" s="16">
        <f>INDEX(Orders!$F$2:$F$201,MATCH(A401,Orders!$A$2:$A$201,0))</f>
        <v>202303</v>
      </c>
      <c r="I401" s="16" t="str">
        <f>INDEX(Orders!$E$2:$E$201,MATCH(A401,Orders!$A$2:$A$201,0))</f>
        <v>Lucknow</v>
      </c>
    </row>
    <row r="402" spans="1:9" x14ac:dyDescent="0.3">
      <c r="A402" s="16">
        <v>155</v>
      </c>
      <c r="B402" s="16">
        <v>3</v>
      </c>
      <c r="C402" s="16">
        <v>1</v>
      </c>
      <c r="D402" s="17">
        <v>8000</v>
      </c>
      <c r="E402" s="17">
        <f t="shared" si="6"/>
        <v>8000</v>
      </c>
      <c r="F402" s="16" t="str">
        <f>INDEX(Products!$B$2:$B$9,MATCH(B402,Products!$A$2:$A$9,0))</f>
        <v>Bluetooth Headphones</v>
      </c>
      <c r="G402" s="16" t="str">
        <f>INDEX(Products!$C$2:$C$9,MATCH(B402,Products!$A$2:$A$9,0))</f>
        <v>Electronics</v>
      </c>
      <c r="H402" s="16">
        <f>INDEX(Orders!$F$2:$F$201,MATCH(A402,Orders!$A$2:$A$201,0))</f>
        <v>202304</v>
      </c>
      <c r="I402" s="16" t="str">
        <f>INDEX(Orders!$E$2:$E$201,MATCH(A402,Orders!$A$2:$A$201,0))</f>
        <v>Jaipur</v>
      </c>
    </row>
    <row r="403" spans="1:9" x14ac:dyDescent="0.3">
      <c r="A403" s="16">
        <v>155</v>
      </c>
      <c r="B403" s="16">
        <v>4</v>
      </c>
      <c r="C403" s="16">
        <v>3</v>
      </c>
      <c r="D403" s="17">
        <v>12000</v>
      </c>
      <c r="E403" s="17">
        <f t="shared" si="6"/>
        <v>36000</v>
      </c>
      <c r="F403" s="16" t="str">
        <f>INDEX(Products!$B$2:$B$9,MATCH(B403,Products!$A$2:$A$9,0))</f>
        <v>E-Book Reader</v>
      </c>
      <c r="G403" s="16" t="str">
        <f>INDEX(Products!$C$2:$C$9,MATCH(B403,Products!$A$2:$A$9,0))</f>
        <v>Electronics</v>
      </c>
      <c r="H403" s="16">
        <f>INDEX(Orders!$F$2:$F$201,MATCH(A403,Orders!$A$2:$A$201,0))</f>
        <v>202304</v>
      </c>
      <c r="I403" s="16" t="str">
        <f>INDEX(Orders!$E$2:$E$201,MATCH(A403,Orders!$A$2:$A$201,0))</f>
        <v>Jaipur</v>
      </c>
    </row>
    <row r="404" spans="1:9" x14ac:dyDescent="0.3">
      <c r="A404" s="16">
        <v>156</v>
      </c>
      <c r="B404" s="16">
        <v>5</v>
      </c>
      <c r="C404" s="16">
        <v>3</v>
      </c>
      <c r="D404" s="17">
        <v>5000</v>
      </c>
      <c r="E404" s="17">
        <f t="shared" si="6"/>
        <v>15000</v>
      </c>
      <c r="F404" s="16" t="str">
        <f>INDEX(Products!$B$2:$B$9,MATCH(B404,Products!$A$2:$A$9,0))</f>
        <v>Smartwatch Fitness Tracker</v>
      </c>
      <c r="G404" s="16" t="str">
        <f>INDEX(Products!$C$2:$C$9,MATCH(B404,Products!$A$2:$A$9,0))</f>
        <v>Wearable Tech</v>
      </c>
      <c r="H404" s="16">
        <f>INDEX(Orders!$F$2:$F$201,MATCH(A404,Orders!$A$2:$A$201,0))</f>
        <v>202307</v>
      </c>
      <c r="I404" s="16" t="str">
        <f>INDEX(Orders!$E$2:$E$201,MATCH(A404,Orders!$A$2:$A$201,0))</f>
        <v>Hyderabad</v>
      </c>
    </row>
    <row r="405" spans="1:9" x14ac:dyDescent="0.3">
      <c r="A405" s="16">
        <v>156</v>
      </c>
      <c r="B405" s="16">
        <v>8</v>
      </c>
      <c r="C405" s="16">
        <v>2</v>
      </c>
      <c r="D405" s="17">
        <v>3000</v>
      </c>
      <c r="E405" s="17">
        <f t="shared" si="6"/>
        <v>6000</v>
      </c>
      <c r="F405" s="16" t="str">
        <f>INDEX(Products!$B$2:$B$9,MATCH(B405,Products!$A$2:$A$9,0))</f>
        <v>Wireless Earbuds</v>
      </c>
      <c r="G405" s="16" t="str">
        <f>INDEX(Products!$C$2:$C$9,MATCH(B405,Products!$A$2:$A$9,0))</f>
        <v>Wearable Tech</v>
      </c>
      <c r="H405" s="16">
        <f>INDEX(Orders!$F$2:$F$201,MATCH(A405,Orders!$A$2:$A$201,0))</f>
        <v>202307</v>
      </c>
      <c r="I405" s="16" t="str">
        <f>INDEX(Orders!$E$2:$E$201,MATCH(A405,Orders!$A$2:$A$201,0))</f>
        <v>Hyderabad</v>
      </c>
    </row>
    <row r="406" spans="1:9" x14ac:dyDescent="0.3">
      <c r="A406" s="16">
        <v>156</v>
      </c>
      <c r="B406" s="16">
        <v>2</v>
      </c>
      <c r="C406" s="16">
        <v>1</v>
      </c>
      <c r="D406" s="17">
        <v>60000</v>
      </c>
      <c r="E406" s="17">
        <f t="shared" si="6"/>
        <v>60000</v>
      </c>
      <c r="F406" s="16" t="str">
        <f>INDEX(Products!$B$2:$B$9,MATCH(B406,Products!$A$2:$A$9,0))</f>
        <v>Laptop 15" Pro</v>
      </c>
      <c r="G406" s="16" t="str">
        <f>INDEX(Products!$C$2:$C$9,MATCH(B406,Products!$A$2:$A$9,0))</f>
        <v>Electronics</v>
      </c>
      <c r="H406" s="16">
        <f>INDEX(Orders!$F$2:$F$201,MATCH(A406,Orders!$A$2:$A$201,0))</f>
        <v>202307</v>
      </c>
      <c r="I406" s="16" t="str">
        <f>INDEX(Orders!$E$2:$E$201,MATCH(A406,Orders!$A$2:$A$201,0))</f>
        <v>Hyderabad</v>
      </c>
    </row>
    <row r="407" spans="1:9" x14ac:dyDescent="0.3">
      <c r="A407" s="16">
        <v>156</v>
      </c>
      <c r="B407" s="16">
        <v>2</v>
      </c>
      <c r="C407" s="16">
        <v>2</v>
      </c>
      <c r="D407" s="17">
        <v>60000</v>
      </c>
      <c r="E407" s="17">
        <f t="shared" si="6"/>
        <v>120000</v>
      </c>
      <c r="F407" s="16" t="str">
        <f>INDEX(Products!$B$2:$B$9,MATCH(B407,Products!$A$2:$A$9,0))</f>
        <v>Laptop 15" Pro</v>
      </c>
      <c r="G407" s="16" t="str">
        <f>INDEX(Products!$C$2:$C$9,MATCH(B407,Products!$A$2:$A$9,0))</f>
        <v>Electronics</v>
      </c>
      <c r="H407" s="16">
        <f>INDEX(Orders!$F$2:$F$201,MATCH(A407,Orders!$A$2:$A$201,0))</f>
        <v>202307</v>
      </c>
      <c r="I407" s="16" t="str">
        <f>INDEX(Orders!$E$2:$E$201,MATCH(A407,Orders!$A$2:$A$201,0))</f>
        <v>Hyderabad</v>
      </c>
    </row>
    <row r="408" spans="1:9" x14ac:dyDescent="0.3">
      <c r="A408" s="16">
        <v>157</v>
      </c>
      <c r="B408" s="16">
        <v>7</v>
      </c>
      <c r="C408" s="16">
        <v>3</v>
      </c>
      <c r="D408" s="17">
        <v>40000</v>
      </c>
      <c r="E408" s="17">
        <f t="shared" si="6"/>
        <v>120000</v>
      </c>
      <c r="F408" s="16" t="str">
        <f>INDEX(Products!$B$2:$B$9,MATCH(B408,Products!$A$2:$A$9,0))</f>
        <v>Digital SLR Camera</v>
      </c>
      <c r="G408" s="16" t="str">
        <f>INDEX(Products!$C$2:$C$9,MATCH(B408,Products!$A$2:$A$9,0))</f>
        <v>Photography</v>
      </c>
      <c r="H408" s="16">
        <f>INDEX(Orders!$F$2:$F$201,MATCH(A408,Orders!$A$2:$A$201,0))</f>
        <v>202310</v>
      </c>
      <c r="I408" s="16" t="str">
        <f>INDEX(Orders!$E$2:$E$201,MATCH(A408,Orders!$A$2:$A$201,0))</f>
        <v>Chennai</v>
      </c>
    </row>
    <row r="409" spans="1:9" x14ac:dyDescent="0.3">
      <c r="A409" s="16">
        <v>157</v>
      </c>
      <c r="B409" s="16">
        <v>6</v>
      </c>
      <c r="C409" s="16">
        <v>1</v>
      </c>
      <c r="D409" s="17">
        <v>7000</v>
      </c>
      <c r="E409" s="17">
        <f t="shared" si="6"/>
        <v>7000</v>
      </c>
      <c r="F409" s="16" t="str">
        <f>INDEX(Products!$B$2:$B$9,MATCH(B409,Products!$A$2:$A$9,0))</f>
        <v>Portable Bluetooth Speaker</v>
      </c>
      <c r="G409" s="16" t="str">
        <f>INDEX(Products!$C$2:$C$9,MATCH(B409,Products!$A$2:$A$9,0))</f>
        <v>Electronics</v>
      </c>
      <c r="H409" s="16">
        <f>INDEX(Orders!$F$2:$F$201,MATCH(A409,Orders!$A$2:$A$201,0))</f>
        <v>202310</v>
      </c>
      <c r="I409" s="16" t="str">
        <f>INDEX(Orders!$E$2:$E$201,MATCH(A409,Orders!$A$2:$A$201,0))</f>
        <v>Chennai</v>
      </c>
    </row>
    <row r="410" spans="1:9" x14ac:dyDescent="0.3">
      <c r="A410" s="16">
        <v>157</v>
      </c>
      <c r="B410" s="16">
        <v>8</v>
      </c>
      <c r="C410" s="16">
        <v>2</v>
      </c>
      <c r="D410" s="17">
        <v>3000</v>
      </c>
      <c r="E410" s="17">
        <f t="shared" si="6"/>
        <v>6000</v>
      </c>
      <c r="F410" s="16" t="str">
        <f>INDEX(Products!$B$2:$B$9,MATCH(B410,Products!$A$2:$A$9,0))</f>
        <v>Wireless Earbuds</v>
      </c>
      <c r="G410" s="16" t="str">
        <f>INDEX(Products!$C$2:$C$9,MATCH(B410,Products!$A$2:$A$9,0))</f>
        <v>Wearable Tech</v>
      </c>
      <c r="H410" s="16">
        <f>INDEX(Orders!$F$2:$F$201,MATCH(A410,Orders!$A$2:$A$201,0))</f>
        <v>202310</v>
      </c>
      <c r="I410" s="16" t="str">
        <f>INDEX(Orders!$E$2:$E$201,MATCH(A410,Orders!$A$2:$A$201,0))</f>
        <v>Chennai</v>
      </c>
    </row>
    <row r="411" spans="1:9" x14ac:dyDescent="0.3">
      <c r="A411" s="16">
        <v>157</v>
      </c>
      <c r="B411" s="16">
        <v>4</v>
      </c>
      <c r="C411" s="16">
        <v>1</v>
      </c>
      <c r="D411" s="17">
        <v>12000</v>
      </c>
      <c r="E411" s="17">
        <f t="shared" si="6"/>
        <v>12000</v>
      </c>
      <c r="F411" s="16" t="str">
        <f>INDEX(Products!$B$2:$B$9,MATCH(B411,Products!$A$2:$A$9,0))</f>
        <v>E-Book Reader</v>
      </c>
      <c r="G411" s="16" t="str">
        <f>INDEX(Products!$C$2:$C$9,MATCH(B411,Products!$A$2:$A$9,0))</f>
        <v>Electronics</v>
      </c>
      <c r="H411" s="16">
        <f>INDEX(Orders!$F$2:$F$201,MATCH(A411,Orders!$A$2:$A$201,0))</f>
        <v>202310</v>
      </c>
      <c r="I411" s="16" t="str">
        <f>INDEX(Orders!$E$2:$E$201,MATCH(A411,Orders!$A$2:$A$201,0))</f>
        <v>Chennai</v>
      </c>
    </row>
    <row r="412" spans="1:9" x14ac:dyDescent="0.3">
      <c r="A412" s="16">
        <v>158</v>
      </c>
      <c r="B412" s="16">
        <v>6</v>
      </c>
      <c r="C412" s="16">
        <v>3</v>
      </c>
      <c r="D412" s="17">
        <v>7000</v>
      </c>
      <c r="E412" s="17">
        <f t="shared" si="6"/>
        <v>21000</v>
      </c>
      <c r="F412" s="16" t="str">
        <f>INDEX(Products!$B$2:$B$9,MATCH(B412,Products!$A$2:$A$9,0))</f>
        <v>Portable Bluetooth Speaker</v>
      </c>
      <c r="G412" s="16" t="str">
        <f>INDEX(Products!$C$2:$C$9,MATCH(B412,Products!$A$2:$A$9,0))</f>
        <v>Electronics</v>
      </c>
      <c r="H412" s="16">
        <f>INDEX(Orders!$F$2:$F$201,MATCH(A412,Orders!$A$2:$A$201,0))</f>
        <v>202307</v>
      </c>
      <c r="I412" s="16" t="str">
        <f>INDEX(Orders!$E$2:$E$201,MATCH(A412,Orders!$A$2:$A$201,0))</f>
        <v>Kolkata</v>
      </c>
    </row>
    <row r="413" spans="1:9" x14ac:dyDescent="0.3">
      <c r="A413" s="16">
        <v>159</v>
      </c>
      <c r="B413" s="16">
        <v>5</v>
      </c>
      <c r="C413" s="16">
        <v>1</v>
      </c>
      <c r="D413" s="17">
        <v>5000</v>
      </c>
      <c r="E413" s="17">
        <f t="shared" si="6"/>
        <v>5000</v>
      </c>
      <c r="F413" s="16" t="str">
        <f>INDEX(Products!$B$2:$B$9,MATCH(B413,Products!$A$2:$A$9,0))</f>
        <v>Smartwatch Fitness Tracker</v>
      </c>
      <c r="G413" s="16" t="str">
        <f>INDEX(Products!$C$2:$C$9,MATCH(B413,Products!$A$2:$A$9,0))</f>
        <v>Wearable Tech</v>
      </c>
      <c r="H413" s="16">
        <f>INDEX(Orders!$F$2:$F$201,MATCH(A413,Orders!$A$2:$A$201,0))</f>
        <v>202304</v>
      </c>
      <c r="I413" s="16" t="str">
        <f>INDEX(Orders!$E$2:$E$201,MATCH(A413,Orders!$A$2:$A$201,0))</f>
        <v>Delhi</v>
      </c>
    </row>
    <row r="414" spans="1:9" x14ac:dyDescent="0.3">
      <c r="A414" s="16">
        <v>160</v>
      </c>
      <c r="B414" s="16">
        <v>1</v>
      </c>
      <c r="C414" s="16">
        <v>3</v>
      </c>
      <c r="D414" s="17">
        <v>15000</v>
      </c>
      <c r="E414" s="17">
        <f t="shared" si="6"/>
        <v>45000</v>
      </c>
      <c r="F414" s="16" t="str">
        <f>INDEX(Products!$B$2:$B$9,MATCH(B414,Products!$A$2:$A$9,0))</f>
        <v>Smartphone 6"</v>
      </c>
      <c r="G414" s="16" t="str">
        <f>INDEX(Products!$C$2:$C$9,MATCH(B414,Products!$A$2:$A$9,0))</f>
        <v>Electronics</v>
      </c>
      <c r="H414" s="16">
        <f>INDEX(Orders!$F$2:$F$201,MATCH(A414,Orders!$A$2:$A$201,0))</f>
        <v>202312</v>
      </c>
      <c r="I414" s="16" t="str">
        <f>INDEX(Orders!$E$2:$E$201,MATCH(A414,Orders!$A$2:$A$201,0))</f>
        <v>Ahmedabad</v>
      </c>
    </row>
    <row r="415" spans="1:9" x14ac:dyDescent="0.3">
      <c r="A415" s="16">
        <v>160</v>
      </c>
      <c r="B415" s="16">
        <v>2</v>
      </c>
      <c r="C415" s="16">
        <v>3</v>
      </c>
      <c r="D415" s="17">
        <v>60000</v>
      </c>
      <c r="E415" s="17">
        <f t="shared" si="6"/>
        <v>180000</v>
      </c>
      <c r="F415" s="16" t="str">
        <f>INDEX(Products!$B$2:$B$9,MATCH(B415,Products!$A$2:$A$9,0))</f>
        <v>Laptop 15" Pro</v>
      </c>
      <c r="G415" s="16" t="str">
        <f>INDEX(Products!$C$2:$C$9,MATCH(B415,Products!$A$2:$A$9,0))</f>
        <v>Electronics</v>
      </c>
      <c r="H415" s="16">
        <f>INDEX(Orders!$F$2:$F$201,MATCH(A415,Orders!$A$2:$A$201,0))</f>
        <v>202312</v>
      </c>
      <c r="I415" s="16" t="str">
        <f>INDEX(Orders!$E$2:$E$201,MATCH(A415,Orders!$A$2:$A$201,0))</f>
        <v>Ahmedabad</v>
      </c>
    </row>
    <row r="416" spans="1:9" x14ac:dyDescent="0.3">
      <c r="A416" s="16">
        <v>160</v>
      </c>
      <c r="B416" s="16">
        <v>7</v>
      </c>
      <c r="C416" s="16">
        <v>2</v>
      </c>
      <c r="D416" s="17">
        <v>40000</v>
      </c>
      <c r="E416" s="17">
        <f t="shared" si="6"/>
        <v>80000</v>
      </c>
      <c r="F416" s="16" t="str">
        <f>INDEX(Products!$B$2:$B$9,MATCH(B416,Products!$A$2:$A$9,0))</f>
        <v>Digital SLR Camera</v>
      </c>
      <c r="G416" s="16" t="str">
        <f>INDEX(Products!$C$2:$C$9,MATCH(B416,Products!$A$2:$A$9,0))</f>
        <v>Photography</v>
      </c>
      <c r="H416" s="16">
        <f>INDEX(Orders!$F$2:$F$201,MATCH(A416,Orders!$A$2:$A$201,0))</f>
        <v>202312</v>
      </c>
      <c r="I416" s="16" t="str">
        <f>INDEX(Orders!$E$2:$E$201,MATCH(A416,Orders!$A$2:$A$201,0))</f>
        <v>Ahmedabad</v>
      </c>
    </row>
    <row r="417" spans="1:9" x14ac:dyDescent="0.3">
      <c r="A417" s="16">
        <v>161</v>
      </c>
      <c r="B417" s="16">
        <v>8</v>
      </c>
      <c r="C417" s="16">
        <v>2</v>
      </c>
      <c r="D417" s="17">
        <v>3000</v>
      </c>
      <c r="E417" s="17">
        <f t="shared" si="6"/>
        <v>6000</v>
      </c>
      <c r="F417" s="16" t="str">
        <f>INDEX(Products!$B$2:$B$9,MATCH(B417,Products!$A$2:$A$9,0))</f>
        <v>Wireless Earbuds</v>
      </c>
      <c r="G417" s="16" t="str">
        <f>INDEX(Products!$C$2:$C$9,MATCH(B417,Products!$A$2:$A$9,0))</f>
        <v>Wearable Tech</v>
      </c>
      <c r="H417" s="16">
        <f>INDEX(Orders!$F$2:$F$201,MATCH(A417,Orders!$A$2:$A$201,0))</f>
        <v>202303</v>
      </c>
      <c r="I417" s="16" t="str">
        <f>INDEX(Orders!$E$2:$E$201,MATCH(A417,Orders!$A$2:$A$201,0))</f>
        <v>Jaipur</v>
      </c>
    </row>
    <row r="418" spans="1:9" x14ac:dyDescent="0.3">
      <c r="A418" s="16">
        <v>162</v>
      </c>
      <c r="B418" s="16">
        <v>6</v>
      </c>
      <c r="C418" s="16">
        <v>3</v>
      </c>
      <c r="D418" s="17">
        <v>7000</v>
      </c>
      <c r="E418" s="17">
        <f t="shared" si="6"/>
        <v>21000</v>
      </c>
      <c r="F418" s="16" t="str">
        <f>INDEX(Products!$B$2:$B$9,MATCH(B418,Products!$A$2:$A$9,0))</f>
        <v>Portable Bluetooth Speaker</v>
      </c>
      <c r="G418" s="16" t="str">
        <f>INDEX(Products!$C$2:$C$9,MATCH(B418,Products!$A$2:$A$9,0))</f>
        <v>Electronics</v>
      </c>
      <c r="H418" s="16">
        <f>INDEX(Orders!$F$2:$F$201,MATCH(A418,Orders!$A$2:$A$201,0))</f>
        <v>202305</v>
      </c>
      <c r="I418" s="16" t="str">
        <f>INDEX(Orders!$E$2:$E$201,MATCH(A418,Orders!$A$2:$A$201,0))</f>
        <v>Delhi</v>
      </c>
    </row>
    <row r="419" spans="1:9" x14ac:dyDescent="0.3">
      <c r="A419" s="16">
        <v>162</v>
      </c>
      <c r="B419" s="16">
        <v>5</v>
      </c>
      <c r="C419" s="16">
        <v>2</v>
      </c>
      <c r="D419" s="17">
        <v>5000</v>
      </c>
      <c r="E419" s="17">
        <f t="shared" si="6"/>
        <v>10000</v>
      </c>
      <c r="F419" s="16" t="str">
        <f>INDEX(Products!$B$2:$B$9,MATCH(B419,Products!$A$2:$A$9,0))</f>
        <v>Smartwatch Fitness Tracker</v>
      </c>
      <c r="G419" s="16" t="str">
        <f>INDEX(Products!$C$2:$C$9,MATCH(B419,Products!$A$2:$A$9,0))</f>
        <v>Wearable Tech</v>
      </c>
      <c r="H419" s="16">
        <f>INDEX(Orders!$F$2:$F$201,MATCH(A419,Orders!$A$2:$A$201,0))</f>
        <v>202305</v>
      </c>
      <c r="I419" s="16" t="str">
        <f>INDEX(Orders!$E$2:$E$201,MATCH(A419,Orders!$A$2:$A$201,0))</f>
        <v>Delhi</v>
      </c>
    </row>
    <row r="420" spans="1:9" x14ac:dyDescent="0.3">
      <c r="A420" s="16">
        <v>162</v>
      </c>
      <c r="B420" s="16">
        <v>1</v>
      </c>
      <c r="C420" s="16">
        <v>1</v>
      </c>
      <c r="D420" s="17">
        <v>15000</v>
      </c>
      <c r="E420" s="17">
        <f t="shared" si="6"/>
        <v>15000</v>
      </c>
      <c r="F420" s="16" t="str">
        <f>INDEX(Products!$B$2:$B$9,MATCH(B420,Products!$A$2:$A$9,0))</f>
        <v>Smartphone 6"</v>
      </c>
      <c r="G420" s="16" t="str">
        <f>INDEX(Products!$C$2:$C$9,MATCH(B420,Products!$A$2:$A$9,0))</f>
        <v>Electronics</v>
      </c>
      <c r="H420" s="16">
        <f>INDEX(Orders!$F$2:$F$201,MATCH(A420,Orders!$A$2:$A$201,0))</f>
        <v>202305</v>
      </c>
      <c r="I420" s="16" t="str">
        <f>INDEX(Orders!$E$2:$E$201,MATCH(A420,Orders!$A$2:$A$201,0))</f>
        <v>Delhi</v>
      </c>
    </row>
    <row r="421" spans="1:9" x14ac:dyDescent="0.3">
      <c r="A421" s="16">
        <v>162</v>
      </c>
      <c r="B421" s="16">
        <v>3</v>
      </c>
      <c r="C421" s="16">
        <v>2</v>
      </c>
      <c r="D421" s="17">
        <v>8000</v>
      </c>
      <c r="E421" s="17">
        <f t="shared" si="6"/>
        <v>16000</v>
      </c>
      <c r="F421" s="16" t="str">
        <f>INDEX(Products!$B$2:$B$9,MATCH(B421,Products!$A$2:$A$9,0))</f>
        <v>Bluetooth Headphones</v>
      </c>
      <c r="G421" s="16" t="str">
        <f>INDEX(Products!$C$2:$C$9,MATCH(B421,Products!$A$2:$A$9,0))</f>
        <v>Electronics</v>
      </c>
      <c r="H421" s="16">
        <f>INDEX(Orders!$F$2:$F$201,MATCH(A421,Orders!$A$2:$A$201,0))</f>
        <v>202305</v>
      </c>
      <c r="I421" s="16" t="str">
        <f>INDEX(Orders!$E$2:$E$201,MATCH(A421,Orders!$A$2:$A$201,0))</f>
        <v>Delhi</v>
      </c>
    </row>
    <row r="422" spans="1:9" x14ac:dyDescent="0.3">
      <c r="A422" s="16">
        <v>163</v>
      </c>
      <c r="B422" s="16">
        <v>4</v>
      </c>
      <c r="C422" s="16">
        <v>2</v>
      </c>
      <c r="D422" s="17">
        <v>12000</v>
      </c>
      <c r="E422" s="17">
        <f t="shared" si="6"/>
        <v>24000</v>
      </c>
      <c r="F422" s="16" t="str">
        <f>INDEX(Products!$B$2:$B$9,MATCH(B422,Products!$A$2:$A$9,0))</f>
        <v>E-Book Reader</v>
      </c>
      <c r="G422" s="16" t="str">
        <f>INDEX(Products!$C$2:$C$9,MATCH(B422,Products!$A$2:$A$9,0))</f>
        <v>Electronics</v>
      </c>
      <c r="H422" s="16">
        <f>INDEX(Orders!$F$2:$F$201,MATCH(A422,Orders!$A$2:$A$201,0))</f>
        <v>202311</v>
      </c>
      <c r="I422" s="16" t="str">
        <f>INDEX(Orders!$E$2:$E$201,MATCH(A422,Orders!$A$2:$A$201,0))</f>
        <v>Delhi</v>
      </c>
    </row>
    <row r="423" spans="1:9" x14ac:dyDescent="0.3">
      <c r="A423" s="16">
        <v>163</v>
      </c>
      <c r="B423" s="16">
        <v>4</v>
      </c>
      <c r="C423" s="16">
        <v>3</v>
      </c>
      <c r="D423" s="17">
        <v>12000</v>
      </c>
      <c r="E423" s="17">
        <f t="shared" si="6"/>
        <v>36000</v>
      </c>
      <c r="F423" s="16" t="str">
        <f>INDEX(Products!$B$2:$B$9,MATCH(B423,Products!$A$2:$A$9,0))</f>
        <v>E-Book Reader</v>
      </c>
      <c r="G423" s="16" t="str">
        <f>INDEX(Products!$C$2:$C$9,MATCH(B423,Products!$A$2:$A$9,0))</f>
        <v>Electronics</v>
      </c>
      <c r="H423" s="16">
        <f>INDEX(Orders!$F$2:$F$201,MATCH(A423,Orders!$A$2:$A$201,0))</f>
        <v>202311</v>
      </c>
      <c r="I423" s="16" t="str">
        <f>INDEX(Orders!$E$2:$E$201,MATCH(A423,Orders!$A$2:$A$201,0))</f>
        <v>Delhi</v>
      </c>
    </row>
    <row r="424" spans="1:9" x14ac:dyDescent="0.3">
      <c r="A424" s="16">
        <v>163</v>
      </c>
      <c r="B424" s="16">
        <v>4</v>
      </c>
      <c r="C424" s="16">
        <v>1</v>
      </c>
      <c r="D424" s="17">
        <v>12000</v>
      </c>
      <c r="E424" s="17">
        <f t="shared" si="6"/>
        <v>12000</v>
      </c>
      <c r="F424" s="16" t="str">
        <f>INDEX(Products!$B$2:$B$9,MATCH(B424,Products!$A$2:$A$9,0))</f>
        <v>E-Book Reader</v>
      </c>
      <c r="G424" s="16" t="str">
        <f>INDEX(Products!$C$2:$C$9,MATCH(B424,Products!$A$2:$A$9,0))</f>
        <v>Electronics</v>
      </c>
      <c r="H424" s="16">
        <f>INDEX(Orders!$F$2:$F$201,MATCH(A424,Orders!$A$2:$A$201,0))</f>
        <v>202311</v>
      </c>
      <c r="I424" s="16" t="str">
        <f>INDEX(Orders!$E$2:$E$201,MATCH(A424,Orders!$A$2:$A$201,0))</f>
        <v>Delhi</v>
      </c>
    </row>
    <row r="425" spans="1:9" x14ac:dyDescent="0.3">
      <c r="A425" s="16">
        <v>163</v>
      </c>
      <c r="B425" s="16">
        <v>4</v>
      </c>
      <c r="C425" s="16">
        <v>2</v>
      </c>
      <c r="D425" s="17">
        <v>12000</v>
      </c>
      <c r="E425" s="17">
        <f t="shared" si="6"/>
        <v>24000</v>
      </c>
      <c r="F425" s="16" t="str">
        <f>INDEX(Products!$B$2:$B$9,MATCH(B425,Products!$A$2:$A$9,0))</f>
        <v>E-Book Reader</v>
      </c>
      <c r="G425" s="16" t="str">
        <f>INDEX(Products!$C$2:$C$9,MATCH(B425,Products!$A$2:$A$9,0))</f>
        <v>Electronics</v>
      </c>
      <c r="H425" s="16">
        <f>INDEX(Orders!$F$2:$F$201,MATCH(A425,Orders!$A$2:$A$201,0))</f>
        <v>202311</v>
      </c>
      <c r="I425" s="16" t="str">
        <f>INDEX(Orders!$E$2:$E$201,MATCH(A425,Orders!$A$2:$A$201,0))</f>
        <v>Delhi</v>
      </c>
    </row>
    <row r="426" spans="1:9" x14ac:dyDescent="0.3">
      <c r="A426" s="16">
        <v>164</v>
      </c>
      <c r="B426" s="16">
        <v>4</v>
      </c>
      <c r="C426" s="16">
        <v>3</v>
      </c>
      <c r="D426" s="17">
        <v>12000</v>
      </c>
      <c r="E426" s="17">
        <f t="shared" si="6"/>
        <v>36000</v>
      </c>
      <c r="F426" s="16" t="str">
        <f>INDEX(Products!$B$2:$B$9,MATCH(B426,Products!$A$2:$A$9,0))</f>
        <v>E-Book Reader</v>
      </c>
      <c r="G426" s="16" t="str">
        <f>INDEX(Products!$C$2:$C$9,MATCH(B426,Products!$A$2:$A$9,0))</f>
        <v>Electronics</v>
      </c>
      <c r="H426" s="16">
        <f>INDEX(Orders!$F$2:$F$201,MATCH(A426,Orders!$A$2:$A$201,0))</f>
        <v>202311</v>
      </c>
      <c r="I426" s="16" t="str">
        <f>INDEX(Orders!$E$2:$E$201,MATCH(A426,Orders!$A$2:$A$201,0))</f>
        <v>Chennai</v>
      </c>
    </row>
    <row r="427" spans="1:9" x14ac:dyDescent="0.3">
      <c r="A427" s="16">
        <v>164</v>
      </c>
      <c r="B427" s="16">
        <v>7</v>
      </c>
      <c r="C427" s="16">
        <v>3</v>
      </c>
      <c r="D427" s="17">
        <v>40000</v>
      </c>
      <c r="E427" s="17">
        <f t="shared" si="6"/>
        <v>120000</v>
      </c>
      <c r="F427" s="16" t="str">
        <f>INDEX(Products!$B$2:$B$9,MATCH(B427,Products!$A$2:$A$9,0))</f>
        <v>Digital SLR Camera</v>
      </c>
      <c r="G427" s="16" t="str">
        <f>INDEX(Products!$C$2:$C$9,MATCH(B427,Products!$A$2:$A$9,0))</f>
        <v>Photography</v>
      </c>
      <c r="H427" s="16">
        <f>INDEX(Orders!$F$2:$F$201,MATCH(A427,Orders!$A$2:$A$201,0))</f>
        <v>202311</v>
      </c>
      <c r="I427" s="16" t="str">
        <f>INDEX(Orders!$E$2:$E$201,MATCH(A427,Orders!$A$2:$A$201,0))</f>
        <v>Chennai</v>
      </c>
    </row>
    <row r="428" spans="1:9" x14ac:dyDescent="0.3">
      <c r="A428" s="16">
        <v>165</v>
      </c>
      <c r="B428" s="16">
        <v>8</v>
      </c>
      <c r="C428" s="16">
        <v>2</v>
      </c>
      <c r="D428" s="17">
        <v>3000</v>
      </c>
      <c r="E428" s="17">
        <f t="shared" si="6"/>
        <v>6000</v>
      </c>
      <c r="F428" s="16" t="str">
        <f>INDEX(Products!$B$2:$B$9,MATCH(B428,Products!$A$2:$A$9,0))</f>
        <v>Wireless Earbuds</v>
      </c>
      <c r="G428" s="16" t="str">
        <f>INDEX(Products!$C$2:$C$9,MATCH(B428,Products!$A$2:$A$9,0))</f>
        <v>Wearable Tech</v>
      </c>
      <c r="H428" s="16">
        <f>INDEX(Orders!$F$2:$F$201,MATCH(A428,Orders!$A$2:$A$201,0))</f>
        <v>202309</v>
      </c>
      <c r="I428" s="16" t="str">
        <f>INDEX(Orders!$E$2:$E$201,MATCH(A428,Orders!$A$2:$A$201,0))</f>
        <v>Ahmedabad</v>
      </c>
    </row>
    <row r="429" spans="1:9" x14ac:dyDescent="0.3">
      <c r="A429" s="16">
        <v>165</v>
      </c>
      <c r="B429" s="16">
        <v>4</v>
      </c>
      <c r="C429" s="16">
        <v>3</v>
      </c>
      <c r="D429" s="17">
        <v>12000</v>
      </c>
      <c r="E429" s="17">
        <f t="shared" si="6"/>
        <v>36000</v>
      </c>
      <c r="F429" s="16" t="str">
        <f>INDEX(Products!$B$2:$B$9,MATCH(B429,Products!$A$2:$A$9,0))</f>
        <v>E-Book Reader</v>
      </c>
      <c r="G429" s="16" t="str">
        <f>INDEX(Products!$C$2:$C$9,MATCH(B429,Products!$A$2:$A$9,0))</f>
        <v>Electronics</v>
      </c>
      <c r="H429" s="16">
        <f>INDEX(Orders!$F$2:$F$201,MATCH(A429,Orders!$A$2:$A$201,0))</f>
        <v>202309</v>
      </c>
      <c r="I429" s="16" t="str">
        <f>INDEX(Orders!$E$2:$E$201,MATCH(A429,Orders!$A$2:$A$201,0))</f>
        <v>Ahmedabad</v>
      </c>
    </row>
    <row r="430" spans="1:9" x14ac:dyDescent="0.3">
      <c r="A430" s="16">
        <v>165</v>
      </c>
      <c r="B430" s="16">
        <v>8</v>
      </c>
      <c r="C430" s="16">
        <v>2</v>
      </c>
      <c r="D430" s="17">
        <v>3000</v>
      </c>
      <c r="E430" s="17">
        <f t="shared" si="6"/>
        <v>6000</v>
      </c>
      <c r="F430" s="16" t="str">
        <f>INDEX(Products!$B$2:$B$9,MATCH(B430,Products!$A$2:$A$9,0))</f>
        <v>Wireless Earbuds</v>
      </c>
      <c r="G430" s="16" t="str">
        <f>INDEX(Products!$C$2:$C$9,MATCH(B430,Products!$A$2:$A$9,0))</f>
        <v>Wearable Tech</v>
      </c>
      <c r="H430" s="16">
        <f>INDEX(Orders!$F$2:$F$201,MATCH(A430,Orders!$A$2:$A$201,0))</f>
        <v>202309</v>
      </c>
      <c r="I430" s="16" t="str">
        <f>INDEX(Orders!$E$2:$E$201,MATCH(A430,Orders!$A$2:$A$201,0))</f>
        <v>Ahmedabad</v>
      </c>
    </row>
    <row r="431" spans="1:9" x14ac:dyDescent="0.3">
      <c r="A431" s="16">
        <v>165</v>
      </c>
      <c r="B431" s="16">
        <v>6</v>
      </c>
      <c r="C431" s="16">
        <v>2</v>
      </c>
      <c r="D431" s="17">
        <v>7000</v>
      </c>
      <c r="E431" s="17">
        <f t="shared" si="6"/>
        <v>14000</v>
      </c>
      <c r="F431" s="16" t="str">
        <f>INDEX(Products!$B$2:$B$9,MATCH(B431,Products!$A$2:$A$9,0))</f>
        <v>Portable Bluetooth Speaker</v>
      </c>
      <c r="G431" s="16" t="str">
        <f>INDEX(Products!$C$2:$C$9,MATCH(B431,Products!$A$2:$A$9,0))</f>
        <v>Electronics</v>
      </c>
      <c r="H431" s="16">
        <f>INDEX(Orders!$F$2:$F$201,MATCH(A431,Orders!$A$2:$A$201,0))</f>
        <v>202309</v>
      </c>
      <c r="I431" s="16" t="str">
        <f>INDEX(Orders!$E$2:$E$201,MATCH(A431,Orders!$A$2:$A$201,0))</f>
        <v>Ahmedabad</v>
      </c>
    </row>
    <row r="432" spans="1:9" x14ac:dyDescent="0.3">
      <c r="A432" s="16">
        <v>166</v>
      </c>
      <c r="B432" s="16">
        <v>7</v>
      </c>
      <c r="C432" s="16">
        <v>2</v>
      </c>
      <c r="D432" s="17">
        <v>40000</v>
      </c>
      <c r="E432" s="17">
        <f t="shared" si="6"/>
        <v>80000</v>
      </c>
      <c r="F432" s="16" t="str">
        <f>INDEX(Products!$B$2:$B$9,MATCH(B432,Products!$A$2:$A$9,0))</f>
        <v>Digital SLR Camera</v>
      </c>
      <c r="G432" s="16" t="str">
        <f>INDEX(Products!$C$2:$C$9,MATCH(B432,Products!$A$2:$A$9,0))</f>
        <v>Photography</v>
      </c>
      <c r="H432" s="16">
        <f>INDEX(Orders!$F$2:$F$201,MATCH(A432,Orders!$A$2:$A$201,0))</f>
        <v>202312</v>
      </c>
      <c r="I432" s="16" t="str">
        <f>INDEX(Orders!$E$2:$E$201,MATCH(A432,Orders!$A$2:$A$201,0))</f>
        <v>Bangalore</v>
      </c>
    </row>
    <row r="433" spans="1:9" x14ac:dyDescent="0.3">
      <c r="A433" s="16">
        <v>166</v>
      </c>
      <c r="B433" s="16">
        <v>3</v>
      </c>
      <c r="C433" s="16">
        <v>3</v>
      </c>
      <c r="D433" s="17">
        <v>8000</v>
      </c>
      <c r="E433" s="17">
        <f t="shared" si="6"/>
        <v>24000</v>
      </c>
      <c r="F433" s="16" t="str">
        <f>INDEX(Products!$B$2:$B$9,MATCH(B433,Products!$A$2:$A$9,0))</f>
        <v>Bluetooth Headphones</v>
      </c>
      <c r="G433" s="16" t="str">
        <f>INDEX(Products!$C$2:$C$9,MATCH(B433,Products!$A$2:$A$9,0))</f>
        <v>Electronics</v>
      </c>
      <c r="H433" s="16">
        <f>INDEX(Orders!$F$2:$F$201,MATCH(A433,Orders!$A$2:$A$201,0))</f>
        <v>202312</v>
      </c>
      <c r="I433" s="16" t="str">
        <f>INDEX(Orders!$E$2:$E$201,MATCH(A433,Orders!$A$2:$A$201,0))</f>
        <v>Bangalore</v>
      </c>
    </row>
    <row r="434" spans="1:9" x14ac:dyDescent="0.3">
      <c r="A434" s="16">
        <v>166</v>
      </c>
      <c r="B434" s="16">
        <v>4</v>
      </c>
      <c r="C434" s="16">
        <v>2</v>
      </c>
      <c r="D434" s="17">
        <v>12000</v>
      </c>
      <c r="E434" s="17">
        <f t="shared" si="6"/>
        <v>24000</v>
      </c>
      <c r="F434" s="16" t="str">
        <f>INDEX(Products!$B$2:$B$9,MATCH(B434,Products!$A$2:$A$9,0))</f>
        <v>E-Book Reader</v>
      </c>
      <c r="G434" s="16" t="str">
        <f>INDEX(Products!$C$2:$C$9,MATCH(B434,Products!$A$2:$A$9,0))</f>
        <v>Electronics</v>
      </c>
      <c r="H434" s="16">
        <f>INDEX(Orders!$F$2:$F$201,MATCH(A434,Orders!$A$2:$A$201,0))</f>
        <v>202312</v>
      </c>
      <c r="I434" s="16" t="str">
        <f>INDEX(Orders!$E$2:$E$201,MATCH(A434,Orders!$A$2:$A$201,0))</f>
        <v>Bangalore</v>
      </c>
    </row>
    <row r="435" spans="1:9" x14ac:dyDescent="0.3">
      <c r="A435" s="16">
        <v>167</v>
      </c>
      <c r="B435" s="16">
        <v>5</v>
      </c>
      <c r="C435" s="16">
        <v>1</v>
      </c>
      <c r="D435" s="17">
        <v>5000</v>
      </c>
      <c r="E435" s="17">
        <f t="shared" si="6"/>
        <v>5000</v>
      </c>
      <c r="F435" s="16" t="str">
        <f>INDEX(Products!$B$2:$B$9,MATCH(B435,Products!$A$2:$A$9,0))</f>
        <v>Smartwatch Fitness Tracker</v>
      </c>
      <c r="G435" s="16" t="str">
        <f>INDEX(Products!$C$2:$C$9,MATCH(B435,Products!$A$2:$A$9,0))</f>
        <v>Wearable Tech</v>
      </c>
      <c r="H435" s="16">
        <f>INDEX(Orders!$F$2:$F$201,MATCH(A435,Orders!$A$2:$A$201,0))</f>
        <v>202309</v>
      </c>
      <c r="I435" s="16" t="str">
        <f>INDEX(Orders!$E$2:$E$201,MATCH(A435,Orders!$A$2:$A$201,0))</f>
        <v>Kolkata</v>
      </c>
    </row>
    <row r="436" spans="1:9" x14ac:dyDescent="0.3">
      <c r="A436" s="16">
        <v>167</v>
      </c>
      <c r="B436" s="16">
        <v>3</v>
      </c>
      <c r="C436" s="16">
        <v>3</v>
      </c>
      <c r="D436" s="17">
        <v>8000</v>
      </c>
      <c r="E436" s="17">
        <f t="shared" si="6"/>
        <v>24000</v>
      </c>
      <c r="F436" s="16" t="str">
        <f>INDEX(Products!$B$2:$B$9,MATCH(B436,Products!$A$2:$A$9,0))</f>
        <v>Bluetooth Headphones</v>
      </c>
      <c r="G436" s="16" t="str">
        <f>INDEX(Products!$C$2:$C$9,MATCH(B436,Products!$A$2:$A$9,0))</f>
        <v>Electronics</v>
      </c>
      <c r="H436" s="16">
        <f>INDEX(Orders!$F$2:$F$201,MATCH(A436,Orders!$A$2:$A$201,0))</f>
        <v>202309</v>
      </c>
      <c r="I436" s="16" t="str">
        <f>INDEX(Orders!$E$2:$E$201,MATCH(A436,Orders!$A$2:$A$201,0))</f>
        <v>Kolkata</v>
      </c>
    </row>
    <row r="437" spans="1:9" x14ac:dyDescent="0.3">
      <c r="A437" s="16">
        <v>167</v>
      </c>
      <c r="B437" s="16">
        <v>4</v>
      </c>
      <c r="C437" s="16">
        <v>2</v>
      </c>
      <c r="D437" s="17">
        <v>12000</v>
      </c>
      <c r="E437" s="17">
        <f t="shared" si="6"/>
        <v>24000</v>
      </c>
      <c r="F437" s="16" t="str">
        <f>INDEX(Products!$B$2:$B$9,MATCH(B437,Products!$A$2:$A$9,0))</f>
        <v>E-Book Reader</v>
      </c>
      <c r="G437" s="16" t="str">
        <f>INDEX(Products!$C$2:$C$9,MATCH(B437,Products!$A$2:$A$9,0))</f>
        <v>Electronics</v>
      </c>
      <c r="H437" s="16">
        <f>INDEX(Orders!$F$2:$F$201,MATCH(A437,Orders!$A$2:$A$201,0))</f>
        <v>202309</v>
      </c>
      <c r="I437" s="16" t="str">
        <f>INDEX(Orders!$E$2:$E$201,MATCH(A437,Orders!$A$2:$A$201,0))</f>
        <v>Kolkata</v>
      </c>
    </row>
    <row r="438" spans="1:9" x14ac:dyDescent="0.3">
      <c r="A438" s="16">
        <v>168</v>
      </c>
      <c r="B438" s="16">
        <v>7</v>
      </c>
      <c r="C438" s="16">
        <v>3</v>
      </c>
      <c r="D438" s="17">
        <v>40000</v>
      </c>
      <c r="E438" s="17">
        <f t="shared" si="6"/>
        <v>120000</v>
      </c>
      <c r="F438" s="16" t="str">
        <f>INDEX(Products!$B$2:$B$9,MATCH(B438,Products!$A$2:$A$9,0))</f>
        <v>Digital SLR Camera</v>
      </c>
      <c r="G438" s="16" t="str">
        <f>INDEX(Products!$C$2:$C$9,MATCH(B438,Products!$A$2:$A$9,0))</f>
        <v>Photography</v>
      </c>
      <c r="H438" s="16">
        <f>INDEX(Orders!$F$2:$F$201,MATCH(A438,Orders!$A$2:$A$201,0))</f>
        <v>202309</v>
      </c>
      <c r="I438" s="16" t="str">
        <f>INDEX(Orders!$E$2:$E$201,MATCH(A438,Orders!$A$2:$A$201,0))</f>
        <v>Bangalore</v>
      </c>
    </row>
    <row r="439" spans="1:9" x14ac:dyDescent="0.3">
      <c r="A439" s="16">
        <v>168</v>
      </c>
      <c r="B439" s="16">
        <v>3</v>
      </c>
      <c r="C439" s="16">
        <v>2</v>
      </c>
      <c r="D439" s="17">
        <v>8000</v>
      </c>
      <c r="E439" s="17">
        <f t="shared" si="6"/>
        <v>16000</v>
      </c>
      <c r="F439" s="16" t="str">
        <f>INDEX(Products!$B$2:$B$9,MATCH(B439,Products!$A$2:$A$9,0))</f>
        <v>Bluetooth Headphones</v>
      </c>
      <c r="G439" s="16" t="str">
        <f>INDEX(Products!$C$2:$C$9,MATCH(B439,Products!$A$2:$A$9,0))</f>
        <v>Electronics</v>
      </c>
      <c r="H439" s="16">
        <f>INDEX(Orders!$F$2:$F$201,MATCH(A439,Orders!$A$2:$A$201,0))</f>
        <v>202309</v>
      </c>
      <c r="I439" s="16" t="str">
        <f>INDEX(Orders!$E$2:$E$201,MATCH(A439,Orders!$A$2:$A$201,0))</f>
        <v>Bangalore</v>
      </c>
    </row>
    <row r="440" spans="1:9" x14ac:dyDescent="0.3">
      <c r="A440" s="16">
        <v>168</v>
      </c>
      <c r="B440" s="16">
        <v>2</v>
      </c>
      <c r="C440" s="16">
        <v>3</v>
      </c>
      <c r="D440" s="17">
        <v>60000</v>
      </c>
      <c r="E440" s="17">
        <f t="shared" si="6"/>
        <v>180000</v>
      </c>
      <c r="F440" s="16" t="str">
        <f>INDEX(Products!$B$2:$B$9,MATCH(B440,Products!$A$2:$A$9,0))</f>
        <v>Laptop 15" Pro</v>
      </c>
      <c r="G440" s="16" t="str">
        <f>INDEX(Products!$C$2:$C$9,MATCH(B440,Products!$A$2:$A$9,0))</f>
        <v>Electronics</v>
      </c>
      <c r="H440" s="16">
        <f>INDEX(Orders!$F$2:$F$201,MATCH(A440,Orders!$A$2:$A$201,0))</f>
        <v>202309</v>
      </c>
      <c r="I440" s="16" t="str">
        <f>INDEX(Orders!$E$2:$E$201,MATCH(A440,Orders!$A$2:$A$201,0))</f>
        <v>Bangalore</v>
      </c>
    </row>
    <row r="441" spans="1:9" x14ac:dyDescent="0.3">
      <c r="A441" s="16">
        <v>168</v>
      </c>
      <c r="B441" s="16">
        <v>6</v>
      </c>
      <c r="C441" s="16">
        <v>2</v>
      </c>
      <c r="D441" s="17">
        <v>7000</v>
      </c>
      <c r="E441" s="17">
        <f t="shared" si="6"/>
        <v>14000</v>
      </c>
      <c r="F441" s="16" t="str">
        <f>INDEX(Products!$B$2:$B$9,MATCH(B441,Products!$A$2:$A$9,0))</f>
        <v>Portable Bluetooth Speaker</v>
      </c>
      <c r="G441" s="16" t="str">
        <f>INDEX(Products!$C$2:$C$9,MATCH(B441,Products!$A$2:$A$9,0))</f>
        <v>Electronics</v>
      </c>
      <c r="H441" s="16">
        <f>INDEX(Orders!$F$2:$F$201,MATCH(A441,Orders!$A$2:$A$201,0))</f>
        <v>202309</v>
      </c>
      <c r="I441" s="16" t="str">
        <f>INDEX(Orders!$E$2:$E$201,MATCH(A441,Orders!$A$2:$A$201,0))</f>
        <v>Bangalore</v>
      </c>
    </row>
    <row r="442" spans="1:9" x14ac:dyDescent="0.3">
      <c r="A442" s="16">
        <v>169</v>
      </c>
      <c r="B442" s="16">
        <v>3</v>
      </c>
      <c r="C442" s="16">
        <v>2</v>
      </c>
      <c r="D442" s="17">
        <v>8000</v>
      </c>
      <c r="E442" s="17">
        <f t="shared" si="6"/>
        <v>16000</v>
      </c>
      <c r="F442" s="16" t="str">
        <f>INDEX(Products!$B$2:$B$9,MATCH(B442,Products!$A$2:$A$9,0))</f>
        <v>Bluetooth Headphones</v>
      </c>
      <c r="G442" s="16" t="str">
        <f>INDEX(Products!$C$2:$C$9,MATCH(B442,Products!$A$2:$A$9,0))</f>
        <v>Electronics</v>
      </c>
      <c r="H442" s="16">
        <f>INDEX(Orders!$F$2:$F$201,MATCH(A442,Orders!$A$2:$A$201,0))</f>
        <v>202305</v>
      </c>
      <c r="I442" s="16" t="str">
        <f>INDEX(Orders!$E$2:$E$201,MATCH(A442,Orders!$A$2:$A$201,0))</f>
        <v>Lucknow</v>
      </c>
    </row>
    <row r="443" spans="1:9" x14ac:dyDescent="0.3">
      <c r="A443" s="16">
        <v>169</v>
      </c>
      <c r="B443" s="16">
        <v>6</v>
      </c>
      <c r="C443" s="16">
        <v>3</v>
      </c>
      <c r="D443" s="17">
        <v>7000</v>
      </c>
      <c r="E443" s="17">
        <f t="shared" si="6"/>
        <v>21000</v>
      </c>
      <c r="F443" s="16" t="str">
        <f>INDEX(Products!$B$2:$B$9,MATCH(B443,Products!$A$2:$A$9,0))</f>
        <v>Portable Bluetooth Speaker</v>
      </c>
      <c r="G443" s="16" t="str">
        <f>INDEX(Products!$C$2:$C$9,MATCH(B443,Products!$A$2:$A$9,0))</f>
        <v>Electronics</v>
      </c>
      <c r="H443" s="16">
        <f>INDEX(Orders!$F$2:$F$201,MATCH(A443,Orders!$A$2:$A$201,0))</f>
        <v>202305</v>
      </c>
      <c r="I443" s="16" t="str">
        <f>INDEX(Orders!$E$2:$E$201,MATCH(A443,Orders!$A$2:$A$201,0))</f>
        <v>Lucknow</v>
      </c>
    </row>
    <row r="444" spans="1:9" x14ac:dyDescent="0.3">
      <c r="A444" s="16">
        <v>169</v>
      </c>
      <c r="B444" s="16">
        <v>8</v>
      </c>
      <c r="C444" s="16">
        <v>1</v>
      </c>
      <c r="D444" s="17">
        <v>3000</v>
      </c>
      <c r="E444" s="17">
        <f t="shared" si="6"/>
        <v>3000</v>
      </c>
      <c r="F444" s="16" t="str">
        <f>INDEX(Products!$B$2:$B$9,MATCH(B444,Products!$A$2:$A$9,0))</f>
        <v>Wireless Earbuds</v>
      </c>
      <c r="G444" s="16" t="str">
        <f>INDEX(Products!$C$2:$C$9,MATCH(B444,Products!$A$2:$A$9,0))</f>
        <v>Wearable Tech</v>
      </c>
      <c r="H444" s="16">
        <f>INDEX(Orders!$F$2:$F$201,MATCH(A444,Orders!$A$2:$A$201,0))</f>
        <v>202305</v>
      </c>
      <c r="I444" s="16" t="str">
        <f>INDEX(Orders!$E$2:$E$201,MATCH(A444,Orders!$A$2:$A$201,0))</f>
        <v>Lucknow</v>
      </c>
    </row>
    <row r="445" spans="1:9" x14ac:dyDescent="0.3">
      <c r="A445" s="16">
        <v>170</v>
      </c>
      <c r="B445" s="16">
        <v>4</v>
      </c>
      <c r="C445" s="16">
        <v>2</v>
      </c>
      <c r="D445" s="17">
        <v>12000</v>
      </c>
      <c r="E445" s="17">
        <f t="shared" si="6"/>
        <v>24000</v>
      </c>
      <c r="F445" s="16" t="str">
        <f>INDEX(Products!$B$2:$B$9,MATCH(B445,Products!$A$2:$A$9,0))</f>
        <v>E-Book Reader</v>
      </c>
      <c r="G445" s="16" t="str">
        <f>INDEX(Products!$C$2:$C$9,MATCH(B445,Products!$A$2:$A$9,0))</f>
        <v>Electronics</v>
      </c>
      <c r="H445" s="16">
        <f>INDEX(Orders!$F$2:$F$201,MATCH(A445,Orders!$A$2:$A$201,0))</f>
        <v>202402</v>
      </c>
      <c r="I445" s="16" t="str">
        <f>INDEX(Orders!$E$2:$E$201,MATCH(A445,Orders!$A$2:$A$201,0))</f>
        <v>Delhi</v>
      </c>
    </row>
    <row r="446" spans="1:9" x14ac:dyDescent="0.3">
      <c r="A446" s="16">
        <v>171</v>
      </c>
      <c r="B446" s="16">
        <v>8</v>
      </c>
      <c r="C446" s="16">
        <v>1</v>
      </c>
      <c r="D446" s="17">
        <v>3000</v>
      </c>
      <c r="E446" s="17">
        <f t="shared" si="6"/>
        <v>3000</v>
      </c>
      <c r="F446" s="16" t="str">
        <f>INDEX(Products!$B$2:$B$9,MATCH(B446,Products!$A$2:$A$9,0))</f>
        <v>Wireless Earbuds</v>
      </c>
      <c r="G446" s="16" t="str">
        <f>INDEX(Products!$C$2:$C$9,MATCH(B446,Products!$A$2:$A$9,0))</f>
        <v>Wearable Tech</v>
      </c>
      <c r="H446" s="16">
        <f>INDEX(Orders!$F$2:$F$201,MATCH(A446,Orders!$A$2:$A$201,0))</f>
        <v>202401</v>
      </c>
      <c r="I446" s="16" t="str">
        <f>INDEX(Orders!$E$2:$E$201,MATCH(A446,Orders!$A$2:$A$201,0))</f>
        <v>Chennai</v>
      </c>
    </row>
    <row r="447" spans="1:9" x14ac:dyDescent="0.3">
      <c r="A447" s="16">
        <v>172</v>
      </c>
      <c r="B447" s="16">
        <v>6</v>
      </c>
      <c r="C447" s="16">
        <v>3</v>
      </c>
      <c r="D447" s="17">
        <v>7000</v>
      </c>
      <c r="E447" s="17">
        <f t="shared" si="6"/>
        <v>21000</v>
      </c>
      <c r="F447" s="16" t="str">
        <f>INDEX(Products!$B$2:$B$9,MATCH(B447,Products!$A$2:$A$9,0))</f>
        <v>Portable Bluetooth Speaker</v>
      </c>
      <c r="G447" s="16" t="str">
        <f>INDEX(Products!$C$2:$C$9,MATCH(B447,Products!$A$2:$A$9,0))</f>
        <v>Electronics</v>
      </c>
      <c r="H447" s="16">
        <f>INDEX(Orders!$F$2:$F$201,MATCH(A447,Orders!$A$2:$A$201,0))</f>
        <v>202306</v>
      </c>
      <c r="I447" s="16" t="str">
        <f>INDEX(Orders!$E$2:$E$201,MATCH(A447,Orders!$A$2:$A$201,0))</f>
        <v>Chennai</v>
      </c>
    </row>
    <row r="448" spans="1:9" x14ac:dyDescent="0.3">
      <c r="A448" s="16">
        <v>172</v>
      </c>
      <c r="B448" s="16">
        <v>5</v>
      </c>
      <c r="C448" s="16">
        <v>1</v>
      </c>
      <c r="D448" s="17">
        <v>5000</v>
      </c>
      <c r="E448" s="17">
        <f t="shared" si="6"/>
        <v>5000</v>
      </c>
      <c r="F448" s="16" t="str">
        <f>INDEX(Products!$B$2:$B$9,MATCH(B448,Products!$A$2:$A$9,0))</f>
        <v>Smartwatch Fitness Tracker</v>
      </c>
      <c r="G448" s="16" t="str">
        <f>INDEX(Products!$C$2:$C$9,MATCH(B448,Products!$A$2:$A$9,0))</f>
        <v>Wearable Tech</v>
      </c>
      <c r="H448" s="16">
        <f>INDEX(Orders!$F$2:$F$201,MATCH(A448,Orders!$A$2:$A$201,0))</f>
        <v>202306</v>
      </c>
      <c r="I448" s="16" t="str">
        <f>INDEX(Orders!$E$2:$E$201,MATCH(A448,Orders!$A$2:$A$201,0))</f>
        <v>Chennai</v>
      </c>
    </row>
    <row r="449" spans="1:9" x14ac:dyDescent="0.3">
      <c r="A449" s="16">
        <v>172</v>
      </c>
      <c r="B449" s="16">
        <v>7</v>
      </c>
      <c r="C449" s="16">
        <v>1</v>
      </c>
      <c r="D449" s="17">
        <v>40000</v>
      </c>
      <c r="E449" s="17">
        <f t="shared" si="6"/>
        <v>40000</v>
      </c>
      <c r="F449" s="16" t="str">
        <f>INDEX(Products!$B$2:$B$9,MATCH(B449,Products!$A$2:$A$9,0))</f>
        <v>Digital SLR Camera</v>
      </c>
      <c r="G449" s="16" t="str">
        <f>INDEX(Products!$C$2:$C$9,MATCH(B449,Products!$A$2:$A$9,0))</f>
        <v>Photography</v>
      </c>
      <c r="H449" s="16">
        <f>INDEX(Orders!$F$2:$F$201,MATCH(A449,Orders!$A$2:$A$201,0))</f>
        <v>202306</v>
      </c>
      <c r="I449" s="16" t="str">
        <f>INDEX(Orders!$E$2:$E$201,MATCH(A449,Orders!$A$2:$A$201,0))</f>
        <v>Chennai</v>
      </c>
    </row>
    <row r="450" spans="1:9" x14ac:dyDescent="0.3">
      <c r="A450" s="16">
        <v>173</v>
      </c>
      <c r="B450" s="16">
        <v>3</v>
      </c>
      <c r="C450" s="16">
        <v>1</v>
      </c>
      <c r="D450" s="17">
        <v>8000</v>
      </c>
      <c r="E450" s="17">
        <f t="shared" ref="E450:E513" si="7">C450*D450</f>
        <v>8000</v>
      </c>
      <c r="F450" s="16" t="str">
        <f>INDEX(Products!$B$2:$B$9,MATCH(B450,Products!$A$2:$A$9,0))</f>
        <v>Bluetooth Headphones</v>
      </c>
      <c r="G450" s="16" t="str">
        <f>INDEX(Products!$C$2:$C$9,MATCH(B450,Products!$A$2:$A$9,0))</f>
        <v>Electronics</v>
      </c>
      <c r="H450" s="16">
        <f>INDEX(Orders!$F$2:$F$201,MATCH(A450,Orders!$A$2:$A$201,0))</f>
        <v>202303</v>
      </c>
      <c r="I450" s="16" t="str">
        <f>INDEX(Orders!$E$2:$E$201,MATCH(A450,Orders!$A$2:$A$201,0))</f>
        <v>Chennai</v>
      </c>
    </row>
    <row r="451" spans="1:9" x14ac:dyDescent="0.3">
      <c r="A451" s="16">
        <v>174</v>
      </c>
      <c r="B451" s="16">
        <v>2</v>
      </c>
      <c r="C451" s="16">
        <v>1</v>
      </c>
      <c r="D451" s="17">
        <v>60000</v>
      </c>
      <c r="E451" s="17">
        <f t="shared" si="7"/>
        <v>60000</v>
      </c>
      <c r="F451" s="16" t="str">
        <f>INDEX(Products!$B$2:$B$9,MATCH(B451,Products!$A$2:$A$9,0))</f>
        <v>Laptop 15" Pro</v>
      </c>
      <c r="G451" s="16" t="str">
        <f>INDEX(Products!$C$2:$C$9,MATCH(B451,Products!$A$2:$A$9,0))</f>
        <v>Electronics</v>
      </c>
      <c r="H451" s="16">
        <f>INDEX(Orders!$F$2:$F$201,MATCH(A451,Orders!$A$2:$A$201,0))</f>
        <v>202312</v>
      </c>
      <c r="I451" s="16" t="str">
        <f>INDEX(Orders!$E$2:$E$201,MATCH(A451,Orders!$A$2:$A$201,0))</f>
        <v>Delhi</v>
      </c>
    </row>
    <row r="452" spans="1:9" x14ac:dyDescent="0.3">
      <c r="A452" s="16">
        <v>174</v>
      </c>
      <c r="B452" s="16">
        <v>1</v>
      </c>
      <c r="C452" s="16">
        <v>1</v>
      </c>
      <c r="D452" s="17">
        <v>15000</v>
      </c>
      <c r="E452" s="17">
        <f t="shared" si="7"/>
        <v>15000</v>
      </c>
      <c r="F452" s="16" t="str">
        <f>INDEX(Products!$B$2:$B$9,MATCH(B452,Products!$A$2:$A$9,0))</f>
        <v>Smartphone 6"</v>
      </c>
      <c r="G452" s="16" t="str">
        <f>INDEX(Products!$C$2:$C$9,MATCH(B452,Products!$A$2:$A$9,0))</f>
        <v>Electronics</v>
      </c>
      <c r="H452" s="16">
        <f>INDEX(Orders!$F$2:$F$201,MATCH(A452,Orders!$A$2:$A$201,0))</f>
        <v>202312</v>
      </c>
      <c r="I452" s="16" t="str">
        <f>INDEX(Orders!$E$2:$E$201,MATCH(A452,Orders!$A$2:$A$201,0))</f>
        <v>Delhi</v>
      </c>
    </row>
    <row r="453" spans="1:9" x14ac:dyDescent="0.3">
      <c r="A453" s="16">
        <v>174</v>
      </c>
      <c r="B453" s="16">
        <v>7</v>
      </c>
      <c r="C453" s="16">
        <v>3</v>
      </c>
      <c r="D453" s="17">
        <v>40000</v>
      </c>
      <c r="E453" s="17">
        <f t="shared" si="7"/>
        <v>120000</v>
      </c>
      <c r="F453" s="16" t="str">
        <f>INDEX(Products!$B$2:$B$9,MATCH(B453,Products!$A$2:$A$9,0))</f>
        <v>Digital SLR Camera</v>
      </c>
      <c r="G453" s="16" t="str">
        <f>INDEX(Products!$C$2:$C$9,MATCH(B453,Products!$A$2:$A$9,0))</f>
        <v>Photography</v>
      </c>
      <c r="H453" s="16">
        <f>INDEX(Orders!$F$2:$F$201,MATCH(A453,Orders!$A$2:$A$201,0))</f>
        <v>202312</v>
      </c>
      <c r="I453" s="16" t="str">
        <f>INDEX(Orders!$E$2:$E$201,MATCH(A453,Orders!$A$2:$A$201,0))</f>
        <v>Delhi</v>
      </c>
    </row>
    <row r="454" spans="1:9" x14ac:dyDescent="0.3">
      <c r="A454" s="16">
        <v>174</v>
      </c>
      <c r="B454" s="16">
        <v>6</v>
      </c>
      <c r="C454" s="16">
        <v>3</v>
      </c>
      <c r="D454" s="17">
        <v>7000</v>
      </c>
      <c r="E454" s="17">
        <f t="shared" si="7"/>
        <v>21000</v>
      </c>
      <c r="F454" s="16" t="str">
        <f>INDEX(Products!$B$2:$B$9,MATCH(B454,Products!$A$2:$A$9,0))</f>
        <v>Portable Bluetooth Speaker</v>
      </c>
      <c r="G454" s="16" t="str">
        <f>INDEX(Products!$C$2:$C$9,MATCH(B454,Products!$A$2:$A$9,0))</f>
        <v>Electronics</v>
      </c>
      <c r="H454" s="16">
        <f>INDEX(Orders!$F$2:$F$201,MATCH(A454,Orders!$A$2:$A$201,0))</f>
        <v>202312</v>
      </c>
      <c r="I454" s="16" t="str">
        <f>INDEX(Orders!$E$2:$E$201,MATCH(A454,Orders!$A$2:$A$201,0))</f>
        <v>Delhi</v>
      </c>
    </row>
    <row r="455" spans="1:9" x14ac:dyDescent="0.3">
      <c r="A455" s="16">
        <v>175</v>
      </c>
      <c r="B455" s="16">
        <v>7</v>
      </c>
      <c r="C455" s="16">
        <v>1</v>
      </c>
      <c r="D455" s="17">
        <v>40000</v>
      </c>
      <c r="E455" s="17">
        <f t="shared" si="7"/>
        <v>40000</v>
      </c>
      <c r="F455" s="16" t="str">
        <f>INDEX(Products!$B$2:$B$9,MATCH(B455,Products!$A$2:$A$9,0))</f>
        <v>Digital SLR Camera</v>
      </c>
      <c r="G455" s="16" t="str">
        <f>INDEX(Products!$C$2:$C$9,MATCH(B455,Products!$A$2:$A$9,0))</f>
        <v>Photography</v>
      </c>
      <c r="H455" s="16">
        <f>INDEX(Orders!$F$2:$F$201,MATCH(A455,Orders!$A$2:$A$201,0))</f>
        <v>202307</v>
      </c>
      <c r="I455" s="16" t="str">
        <f>INDEX(Orders!$E$2:$E$201,MATCH(A455,Orders!$A$2:$A$201,0))</f>
        <v>Jaipur</v>
      </c>
    </row>
    <row r="456" spans="1:9" x14ac:dyDescent="0.3">
      <c r="A456" s="16">
        <v>175</v>
      </c>
      <c r="B456" s="16">
        <v>2</v>
      </c>
      <c r="C456" s="16">
        <v>3</v>
      </c>
      <c r="D456" s="17">
        <v>60000</v>
      </c>
      <c r="E456" s="17">
        <f t="shared" si="7"/>
        <v>180000</v>
      </c>
      <c r="F456" s="16" t="str">
        <f>INDEX(Products!$B$2:$B$9,MATCH(B456,Products!$A$2:$A$9,0))</f>
        <v>Laptop 15" Pro</v>
      </c>
      <c r="G456" s="16" t="str">
        <f>INDEX(Products!$C$2:$C$9,MATCH(B456,Products!$A$2:$A$9,0))</f>
        <v>Electronics</v>
      </c>
      <c r="H456" s="16">
        <f>INDEX(Orders!$F$2:$F$201,MATCH(A456,Orders!$A$2:$A$201,0))</f>
        <v>202307</v>
      </c>
      <c r="I456" s="16" t="str">
        <f>INDEX(Orders!$E$2:$E$201,MATCH(A456,Orders!$A$2:$A$201,0))</f>
        <v>Jaipur</v>
      </c>
    </row>
    <row r="457" spans="1:9" x14ac:dyDescent="0.3">
      <c r="A457" s="16">
        <v>175</v>
      </c>
      <c r="B457" s="16">
        <v>8</v>
      </c>
      <c r="C457" s="16">
        <v>1</v>
      </c>
      <c r="D457" s="17">
        <v>3000</v>
      </c>
      <c r="E457" s="17">
        <f t="shared" si="7"/>
        <v>3000</v>
      </c>
      <c r="F457" s="16" t="str">
        <f>INDEX(Products!$B$2:$B$9,MATCH(B457,Products!$A$2:$A$9,0))</f>
        <v>Wireless Earbuds</v>
      </c>
      <c r="G457" s="16" t="str">
        <f>INDEX(Products!$C$2:$C$9,MATCH(B457,Products!$A$2:$A$9,0))</f>
        <v>Wearable Tech</v>
      </c>
      <c r="H457" s="16">
        <f>INDEX(Orders!$F$2:$F$201,MATCH(A457,Orders!$A$2:$A$201,0))</f>
        <v>202307</v>
      </c>
      <c r="I457" s="16" t="str">
        <f>INDEX(Orders!$E$2:$E$201,MATCH(A457,Orders!$A$2:$A$201,0))</f>
        <v>Jaipur</v>
      </c>
    </row>
    <row r="458" spans="1:9" x14ac:dyDescent="0.3">
      <c r="A458" s="16">
        <v>175</v>
      </c>
      <c r="B458" s="16">
        <v>5</v>
      </c>
      <c r="C458" s="16">
        <v>1</v>
      </c>
      <c r="D458" s="17">
        <v>5000</v>
      </c>
      <c r="E458" s="17">
        <f t="shared" si="7"/>
        <v>5000</v>
      </c>
      <c r="F458" s="16" t="str">
        <f>INDEX(Products!$B$2:$B$9,MATCH(B458,Products!$A$2:$A$9,0))</f>
        <v>Smartwatch Fitness Tracker</v>
      </c>
      <c r="G458" s="16" t="str">
        <f>INDEX(Products!$C$2:$C$9,MATCH(B458,Products!$A$2:$A$9,0))</f>
        <v>Wearable Tech</v>
      </c>
      <c r="H458" s="16">
        <f>INDEX(Orders!$F$2:$F$201,MATCH(A458,Orders!$A$2:$A$201,0))</f>
        <v>202307</v>
      </c>
      <c r="I458" s="16" t="str">
        <f>INDEX(Orders!$E$2:$E$201,MATCH(A458,Orders!$A$2:$A$201,0))</f>
        <v>Jaipur</v>
      </c>
    </row>
    <row r="459" spans="1:9" x14ac:dyDescent="0.3">
      <c r="A459" s="16">
        <v>176</v>
      </c>
      <c r="B459" s="16">
        <v>2</v>
      </c>
      <c r="C459" s="16">
        <v>1</v>
      </c>
      <c r="D459" s="17">
        <v>60000</v>
      </c>
      <c r="E459" s="17">
        <f t="shared" si="7"/>
        <v>60000</v>
      </c>
      <c r="F459" s="16" t="str">
        <f>INDEX(Products!$B$2:$B$9,MATCH(B459,Products!$A$2:$A$9,0))</f>
        <v>Laptop 15" Pro</v>
      </c>
      <c r="G459" s="16" t="str">
        <f>INDEX(Products!$C$2:$C$9,MATCH(B459,Products!$A$2:$A$9,0))</f>
        <v>Electronics</v>
      </c>
      <c r="H459" s="16">
        <f>INDEX(Orders!$F$2:$F$201,MATCH(A459,Orders!$A$2:$A$201,0))</f>
        <v>202308</v>
      </c>
      <c r="I459" s="16" t="str">
        <f>INDEX(Orders!$E$2:$E$201,MATCH(A459,Orders!$A$2:$A$201,0))</f>
        <v>Ahmedabad</v>
      </c>
    </row>
    <row r="460" spans="1:9" x14ac:dyDescent="0.3">
      <c r="A460" s="16">
        <v>177</v>
      </c>
      <c r="B460" s="16">
        <v>8</v>
      </c>
      <c r="C460" s="16">
        <v>2</v>
      </c>
      <c r="D460" s="17">
        <v>3000</v>
      </c>
      <c r="E460" s="17">
        <f t="shared" si="7"/>
        <v>6000</v>
      </c>
      <c r="F460" s="16" t="str">
        <f>INDEX(Products!$B$2:$B$9,MATCH(B460,Products!$A$2:$A$9,0))</f>
        <v>Wireless Earbuds</v>
      </c>
      <c r="G460" s="16" t="str">
        <f>INDEX(Products!$C$2:$C$9,MATCH(B460,Products!$A$2:$A$9,0))</f>
        <v>Wearable Tech</v>
      </c>
      <c r="H460" s="16">
        <f>INDEX(Orders!$F$2:$F$201,MATCH(A460,Orders!$A$2:$A$201,0))</f>
        <v>202307</v>
      </c>
      <c r="I460" s="16" t="str">
        <f>INDEX(Orders!$E$2:$E$201,MATCH(A460,Orders!$A$2:$A$201,0))</f>
        <v>Lucknow</v>
      </c>
    </row>
    <row r="461" spans="1:9" x14ac:dyDescent="0.3">
      <c r="A461" s="16">
        <v>177</v>
      </c>
      <c r="B461" s="16">
        <v>3</v>
      </c>
      <c r="C461" s="16">
        <v>2</v>
      </c>
      <c r="D461" s="17">
        <v>8000</v>
      </c>
      <c r="E461" s="17">
        <f t="shared" si="7"/>
        <v>16000</v>
      </c>
      <c r="F461" s="16" t="str">
        <f>INDEX(Products!$B$2:$B$9,MATCH(B461,Products!$A$2:$A$9,0))</f>
        <v>Bluetooth Headphones</v>
      </c>
      <c r="G461" s="16" t="str">
        <f>INDEX(Products!$C$2:$C$9,MATCH(B461,Products!$A$2:$A$9,0))</f>
        <v>Electronics</v>
      </c>
      <c r="H461" s="16">
        <f>INDEX(Orders!$F$2:$F$201,MATCH(A461,Orders!$A$2:$A$201,0))</f>
        <v>202307</v>
      </c>
      <c r="I461" s="16" t="str">
        <f>INDEX(Orders!$E$2:$E$201,MATCH(A461,Orders!$A$2:$A$201,0))</f>
        <v>Lucknow</v>
      </c>
    </row>
    <row r="462" spans="1:9" x14ac:dyDescent="0.3">
      <c r="A462" s="16">
        <v>177</v>
      </c>
      <c r="B462" s="16">
        <v>8</v>
      </c>
      <c r="C462" s="16">
        <v>1</v>
      </c>
      <c r="D462" s="17">
        <v>3000</v>
      </c>
      <c r="E462" s="17">
        <f t="shared" si="7"/>
        <v>3000</v>
      </c>
      <c r="F462" s="16" t="str">
        <f>INDEX(Products!$B$2:$B$9,MATCH(B462,Products!$A$2:$A$9,0))</f>
        <v>Wireless Earbuds</v>
      </c>
      <c r="G462" s="16" t="str">
        <f>INDEX(Products!$C$2:$C$9,MATCH(B462,Products!$A$2:$A$9,0))</f>
        <v>Wearable Tech</v>
      </c>
      <c r="H462" s="16">
        <f>INDEX(Orders!$F$2:$F$201,MATCH(A462,Orders!$A$2:$A$201,0))</f>
        <v>202307</v>
      </c>
      <c r="I462" s="16" t="str">
        <f>INDEX(Orders!$E$2:$E$201,MATCH(A462,Orders!$A$2:$A$201,0))</f>
        <v>Lucknow</v>
      </c>
    </row>
    <row r="463" spans="1:9" x14ac:dyDescent="0.3">
      <c r="A463" s="16">
        <v>177</v>
      </c>
      <c r="B463" s="16">
        <v>7</v>
      </c>
      <c r="C463" s="16">
        <v>3</v>
      </c>
      <c r="D463" s="17">
        <v>40000</v>
      </c>
      <c r="E463" s="17">
        <f t="shared" si="7"/>
        <v>120000</v>
      </c>
      <c r="F463" s="16" t="str">
        <f>INDEX(Products!$B$2:$B$9,MATCH(B463,Products!$A$2:$A$9,0))</f>
        <v>Digital SLR Camera</v>
      </c>
      <c r="G463" s="16" t="str">
        <f>INDEX(Products!$C$2:$C$9,MATCH(B463,Products!$A$2:$A$9,0))</f>
        <v>Photography</v>
      </c>
      <c r="H463" s="16">
        <f>INDEX(Orders!$F$2:$F$201,MATCH(A463,Orders!$A$2:$A$201,0))</f>
        <v>202307</v>
      </c>
      <c r="I463" s="16" t="str">
        <f>INDEX(Orders!$E$2:$E$201,MATCH(A463,Orders!$A$2:$A$201,0))</f>
        <v>Lucknow</v>
      </c>
    </row>
    <row r="464" spans="1:9" x14ac:dyDescent="0.3">
      <c r="A464" s="16">
        <v>178</v>
      </c>
      <c r="B464" s="16">
        <v>5</v>
      </c>
      <c r="C464" s="16">
        <v>3</v>
      </c>
      <c r="D464" s="17">
        <v>5000</v>
      </c>
      <c r="E464" s="17">
        <f t="shared" si="7"/>
        <v>15000</v>
      </c>
      <c r="F464" s="16" t="str">
        <f>INDEX(Products!$B$2:$B$9,MATCH(B464,Products!$A$2:$A$9,0))</f>
        <v>Smartwatch Fitness Tracker</v>
      </c>
      <c r="G464" s="16" t="str">
        <f>INDEX(Products!$C$2:$C$9,MATCH(B464,Products!$A$2:$A$9,0))</f>
        <v>Wearable Tech</v>
      </c>
      <c r="H464" s="16">
        <f>INDEX(Orders!$F$2:$F$201,MATCH(A464,Orders!$A$2:$A$201,0))</f>
        <v>202312</v>
      </c>
      <c r="I464" s="16" t="str">
        <f>INDEX(Orders!$E$2:$E$201,MATCH(A464,Orders!$A$2:$A$201,0))</f>
        <v>Chennai</v>
      </c>
    </row>
    <row r="465" spans="1:9" x14ac:dyDescent="0.3">
      <c r="A465" s="16">
        <v>178</v>
      </c>
      <c r="B465" s="16">
        <v>8</v>
      </c>
      <c r="C465" s="16">
        <v>3</v>
      </c>
      <c r="D465" s="17">
        <v>3000</v>
      </c>
      <c r="E465" s="17">
        <f t="shared" si="7"/>
        <v>9000</v>
      </c>
      <c r="F465" s="16" t="str">
        <f>INDEX(Products!$B$2:$B$9,MATCH(B465,Products!$A$2:$A$9,0))</f>
        <v>Wireless Earbuds</v>
      </c>
      <c r="G465" s="16" t="str">
        <f>INDEX(Products!$C$2:$C$9,MATCH(B465,Products!$A$2:$A$9,0))</f>
        <v>Wearable Tech</v>
      </c>
      <c r="H465" s="16">
        <f>INDEX(Orders!$F$2:$F$201,MATCH(A465,Orders!$A$2:$A$201,0))</f>
        <v>202312</v>
      </c>
      <c r="I465" s="16" t="str">
        <f>INDEX(Orders!$E$2:$E$201,MATCH(A465,Orders!$A$2:$A$201,0))</f>
        <v>Chennai</v>
      </c>
    </row>
    <row r="466" spans="1:9" x14ac:dyDescent="0.3">
      <c r="A466" s="16">
        <v>178</v>
      </c>
      <c r="B466" s="16">
        <v>1</v>
      </c>
      <c r="C466" s="16">
        <v>3</v>
      </c>
      <c r="D466" s="17">
        <v>15000</v>
      </c>
      <c r="E466" s="17">
        <f t="shared" si="7"/>
        <v>45000</v>
      </c>
      <c r="F466" s="16" t="str">
        <f>INDEX(Products!$B$2:$B$9,MATCH(B466,Products!$A$2:$A$9,0))</f>
        <v>Smartphone 6"</v>
      </c>
      <c r="G466" s="16" t="str">
        <f>INDEX(Products!$C$2:$C$9,MATCH(B466,Products!$A$2:$A$9,0))</f>
        <v>Electronics</v>
      </c>
      <c r="H466" s="16">
        <f>INDEX(Orders!$F$2:$F$201,MATCH(A466,Orders!$A$2:$A$201,0))</f>
        <v>202312</v>
      </c>
      <c r="I466" s="16" t="str">
        <f>INDEX(Orders!$E$2:$E$201,MATCH(A466,Orders!$A$2:$A$201,0))</f>
        <v>Chennai</v>
      </c>
    </row>
    <row r="467" spans="1:9" x14ac:dyDescent="0.3">
      <c r="A467" s="16">
        <v>179</v>
      </c>
      <c r="B467" s="16">
        <v>8</v>
      </c>
      <c r="C467" s="16">
        <v>2</v>
      </c>
      <c r="D467" s="17">
        <v>3000</v>
      </c>
      <c r="E467" s="17">
        <f t="shared" si="7"/>
        <v>6000</v>
      </c>
      <c r="F467" s="16" t="str">
        <f>INDEX(Products!$B$2:$B$9,MATCH(B467,Products!$A$2:$A$9,0))</f>
        <v>Wireless Earbuds</v>
      </c>
      <c r="G467" s="16" t="str">
        <f>INDEX(Products!$C$2:$C$9,MATCH(B467,Products!$A$2:$A$9,0))</f>
        <v>Wearable Tech</v>
      </c>
      <c r="H467" s="16">
        <f>INDEX(Orders!$F$2:$F$201,MATCH(A467,Orders!$A$2:$A$201,0))</f>
        <v>202310</v>
      </c>
      <c r="I467" s="16" t="str">
        <f>INDEX(Orders!$E$2:$E$201,MATCH(A467,Orders!$A$2:$A$201,0))</f>
        <v>Hyderabad</v>
      </c>
    </row>
    <row r="468" spans="1:9" x14ac:dyDescent="0.3">
      <c r="A468" s="16">
        <v>179</v>
      </c>
      <c r="B468" s="16">
        <v>7</v>
      </c>
      <c r="C468" s="16">
        <v>1</v>
      </c>
      <c r="D468" s="17">
        <v>40000</v>
      </c>
      <c r="E468" s="17">
        <f t="shared" si="7"/>
        <v>40000</v>
      </c>
      <c r="F468" s="16" t="str">
        <f>INDEX(Products!$B$2:$B$9,MATCH(B468,Products!$A$2:$A$9,0))</f>
        <v>Digital SLR Camera</v>
      </c>
      <c r="G468" s="16" t="str">
        <f>INDEX(Products!$C$2:$C$9,MATCH(B468,Products!$A$2:$A$9,0))</f>
        <v>Photography</v>
      </c>
      <c r="H468" s="16">
        <f>INDEX(Orders!$F$2:$F$201,MATCH(A468,Orders!$A$2:$A$201,0))</f>
        <v>202310</v>
      </c>
      <c r="I468" s="16" t="str">
        <f>INDEX(Orders!$E$2:$E$201,MATCH(A468,Orders!$A$2:$A$201,0))</f>
        <v>Hyderabad</v>
      </c>
    </row>
    <row r="469" spans="1:9" x14ac:dyDescent="0.3">
      <c r="A469" s="16">
        <v>179</v>
      </c>
      <c r="B469" s="16">
        <v>4</v>
      </c>
      <c r="C469" s="16">
        <v>3</v>
      </c>
      <c r="D469" s="17">
        <v>12000</v>
      </c>
      <c r="E469" s="17">
        <f t="shared" si="7"/>
        <v>36000</v>
      </c>
      <c r="F469" s="16" t="str">
        <f>INDEX(Products!$B$2:$B$9,MATCH(B469,Products!$A$2:$A$9,0))</f>
        <v>E-Book Reader</v>
      </c>
      <c r="G469" s="16" t="str">
        <f>INDEX(Products!$C$2:$C$9,MATCH(B469,Products!$A$2:$A$9,0))</f>
        <v>Electronics</v>
      </c>
      <c r="H469" s="16">
        <f>INDEX(Orders!$F$2:$F$201,MATCH(A469,Orders!$A$2:$A$201,0))</f>
        <v>202310</v>
      </c>
      <c r="I469" s="16" t="str">
        <f>INDEX(Orders!$E$2:$E$201,MATCH(A469,Orders!$A$2:$A$201,0))</f>
        <v>Hyderabad</v>
      </c>
    </row>
    <row r="470" spans="1:9" x14ac:dyDescent="0.3">
      <c r="A470" s="16">
        <v>180</v>
      </c>
      <c r="B470" s="16">
        <v>2</v>
      </c>
      <c r="C470" s="16">
        <v>1</v>
      </c>
      <c r="D470" s="17">
        <v>60000</v>
      </c>
      <c r="E470" s="17">
        <f t="shared" si="7"/>
        <v>60000</v>
      </c>
      <c r="F470" s="16" t="str">
        <f>INDEX(Products!$B$2:$B$9,MATCH(B470,Products!$A$2:$A$9,0))</f>
        <v>Laptop 15" Pro</v>
      </c>
      <c r="G470" s="16" t="str">
        <f>INDEX(Products!$C$2:$C$9,MATCH(B470,Products!$A$2:$A$9,0))</f>
        <v>Electronics</v>
      </c>
      <c r="H470" s="16">
        <f>INDEX(Orders!$F$2:$F$201,MATCH(A470,Orders!$A$2:$A$201,0))</f>
        <v>202310</v>
      </c>
      <c r="I470" s="16" t="str">
        <f>INDEX(Orders!$E$2:$E$201,MATCH(A470,Orders!$A$2:$A$201,0))</f>
        <v>Lucknow</v>
      </c>
    </row>
    <row r="471" spans="1:9" x14ac:dyDescent="0.3">
      <c r="A471" s="16">
        <v>181</v>
      </c>
      <c r="B471" s="16">
        <v>6</v>
      </c>
      <c r="C471" s="16">
        <v>3</v>
      </c>
      <c r="D471" s="17">
        <v>7000</v>
      </c>
      <c r="E471" s="17">
        <f t="shared" si="7"/>
        <v>21000</v>
      </c>
      <c r="F471" s="16" t="str">
        <f>INDEX(Products!$B$2:$B$9,MATCH(B471,Products!$A$2:$A$9,0))</f>
        <v>Portable Bluetooth Speaker</v>
      </c>
      <c r="G471" s="16" t="str">
        <f>INDEX(Products!$C$2:$C$9,MATCH(B471,Products!$A$2:$A$9,0))</f>
        <v>Electronics</v>
      </c>
      <c r="H471" s="16">
        <f>INDEX(Orders!$F$2:$F$201,MATCH(A471,Orders!$A$2:$A$201,0))</f>
        <v>202308</v>
      </c>
      <c r="I471" s="16" t="str">
        <f>INDEX(Orders!$E$2:$E$201,MATCH(A471,Orders!$A$2:$A$201,0))</f>
        <v>Bangalore</v>
      </c>
    </row>
    <row r="472" spans="1:9" x14ac:dyDescent="0.3">
      <c r="A472" s="16">
        <v>181</v>
      </c>
      <c r="B472" s="16">
        <v>2</v>
      </c>
      <c r="C472" s="16">
        <v>3</v>
      </c>
      <c r="D472" s="17">
        <v>60000</v>
      </c>
      <c r="E472" s="17">
        <f t="shared" si="7"/>
        <v>180000</v>
      </c>
      <c r="F472" s="16" t="str">
        <f>INDEX(Products!$B$2:$B$9,MATCH(B472,Products!$A$2:$A$9,0))</f>
        <v>Laptop 15" Pro</v>
      </c>
      <c r="G472" s="16" t="str">
        <f>INDEX(Products!$C$2:$C$9,MATCH(B472,Products!$A$2:$A$9,0))</f>
        <v>Electronics</v>
      </c>
      <c r="H472" s="16">
        <f>INDEX(Orders!$F$2:$F$201,MATCH(A472,Orders!$A$2:$A$201,0))</f>
        <v>202308</v>
      </c>
      <c r="I472" s="16" t="str">
        <f>INDEX(Orders!$E$2:$E$201,MATCH(A472,Orders!$A$2:$A$201,0))</f>
        <v>Bangalore</v>
      </c>
    </row>
    <row r="473" spans="1:9" x14ac:dyDescent="0.3">
      <c r="A473" s="16">
        <v>181</v>
      </c>
      <c r="B473" s="16">
        <v>5</v>
      </c>
      <c r="C473" s="16">
        <v>3</v>
      </c>
      <c r="D473" s="17">
        <v>5000</v>
      </c>
      <c r="E473" s="17">
        <f t="shared" si="7"/>
        <v>15000</v>
      </c>
      <c r="F473" s="16" t="str">
        <f>INDEX(Products!$B$2:$B$9,MATCH(B473,Products!$A$2:$A$9,0))</f>
        <v>Smartwatch Fitness Tracker</v>
      </c>
      <c r="G473" s="16" t="str">
        <f>INDEX(Products!$C$2:$C$9,MATCH(B473,Products!$A$2:$A$9,0))</f>
        <v>Wearable Tech</v>
      </c>
      <c r="H473" s="16">
        <f>INDEX(Orders!$F$2:$F$201,MATCH(A473,Orders!$A$2:$A$201,0))</f>
        <v>202308</v>
      </c>
      <c r="I473" s="16" t="str">
        <f>INDEX(Orders!$E$2:$E$201,MATCH(A473,Orders!$A$2:$A$201,0))</f>
        <v>Bangalore</v>
      </c>
    </row>
    <row r="474" spans="1:9" x14ac:dyDescent="0.3">
      <c r="A474" s="16">
        <v>181</v>
      </c>
      <c r="B474" s="16">
        <v>2</v>
      </c>
      <c r="C474" s="16">
        <v>1</v>
      </c>
      <c r="D474" s="17">
        <v>60000</v>
      </c>
      <c r="E474" s="17">
        <f t="shared" si="7"/>
        <v>60000</v>
      </c>
      <c r="F474" s="16" t="str">
        <f>INDEX(Products!$B$2:$B$9,MATCH(B474,Products!$A$2:$A$9,0))</f>
        <v>Laptop 15" Pro</v>
      </c>
      <c r="G474" s="16" t="str">
        <f>INDEX(Products!$C$2:$C$9,MATCH(B474,Products!$A$2:$A$9,0))</f>
        <v>Electronics</v>
      </c>
      <c r="H474" s="16">
        <f>INDEX(Orders!$F$2:$F$201,MATCH(A474,Orders!$A$2:$A$201,0))</f>
        <v>202308</v>
      </c>
      <c r="I474" s="16" t="str">
        <f>INDEX(Orders!$E$2:$E$201,MATCH(A474,Orders!$A$2:$A$201,0))</f>
        <v>Bangalore</v>
      </c>
    </row>
    <row r="475" spans="1:9" x14ac:dyDescent="0.3">
      <c r="A475" s="16">
        <v>182</v>
      </c>
      <c r="B475" s="16">
        <v>7</v>
      </c>
      <c r="C475" s="16">
        <v>3</v>
      </c>
      <c r="D475" s="17">
        <v>40000</v>
      </c>
      <c r="E475" s="17">
        <f t="shared" si="7"/>
        <v>120000</v>
      </c>
      <c r="F475" s="16" t="str">
        <f>INDEX(Products!$B$2:$B$9,MATCH(B475,Products!$A$2:$A$9,0))</f>
        <v>Digital SLR Camera</v>
      </c>
      <c r="G475" s="16" t="str">
        <f>INDEX(Products!$C$2:$C$9,MATCH(B475,Products!$A$2:$A$9,0))</f>
        <v>Photography</v>
      </c>
      <c r="H475" s="16">
        <f>INDEX(Orders!$F$2:$F$201,MATCH(A475,Orders!$A$2:$A$201,0))</f>
        <v>202306</v>
      </c>
      <c r="I475" s="16" t="str">
        <f>INDEX(Orders!$E$2:$E$201,MATCH(A475,Orders!$A$2:$A$201,0))</f>
        <v>Lucknow</v>
      </c>
    </row>
    <row r="476" spans="1:9" x14ac:dyDescent="0.3">
      <c r="A476" s="16">
        <v>182</v>
      </c>
      <c r="B476" s="16">
        <v>3</v>
      </c>
      <c r="C476" s="16">
        <v>3</v>
      </c>
      <c r="D476" s="17">
        <v>8000</v>
      </c>
      <c r="E476" s="17">
        <f t="shared" si="7"/>
        <v>24000</v>
      </c>
      <c r="F476" s="16" t="str">
        <f>INDEX(Products!$B$2:$B$9,MATCH(B476,Products!$A$2:$A$9,0))</f>
        <v>Bluetooth Headphones</v>
      </c>
      <c r="G476" s="16" t="str">
        <f>INDEX(Products!$C$2:$C$9,MATCH(B476,Products!$A$2:$A$9,0))</f>
        <v>Electronics</v>
      </c>
      <c r="H476" s="16">
        <f>INDEX(Orders!$F$2:$F$201,MATCH(A476,Orders!$A$2:$A$201,0))</f>
        <v>202306</v>
      </c>
      <c r="I476" s="16" t="str">
        <f>INDEX(Orders!$E$2:$E$201,MATCH(A476,Orders!$A$2:$A$201,0))</f>
        <v>Lucknow</v>
      </c>
    </row>
    <row r="477" spans="1:9" x14ac:dyDescent="0.3">
      <c r="A477" s="16">
        <v>182</v>
      </c>
      <c r="B477" s="16">
        <v>3</v>
      </c>
      <c r="C477" s="16">
        <v>2</v>
      </c>
      <c r="D477" s="17">
        <v>8000</v>
      </c>
      <c r="E477" s="17">
        <f t="shared" si="7"/>
        <v>16000</v>
      </c>
      <c r="F477" s="16" t="str">
        <f>INDEX(Products!$B$2:$B$9,MATCH(B477,Products!$A$2:$A$9,0))</f>
        <v>Bluetooth Headphones</v>
      </c>
      <c r="G477" s="16" t="str">
        <f>INDEX(Products!$C$2:$C$9,MATCH(B477,Products!$A$2:$A$9,0))</f>
        <v>Electronics</v>
      </c>
      <c r="H477" s="16">
        <f>INDEX(Orders!$F$2:$F$201,MATCH(A477,Orders!$A$2:$A$201,0))</f>
        <v>202306</v>
      </c>
      <c r="I477" s="16" t="str">
        <f>INDEX(Orders!$E$2:$E$201,MATCH(A477,Orders!$A$2:$A$201,0))</f>
        <v>Lucknow</v>
      </c>
    </row>
    <row r="478" spans="1:9" x14ac:dyDescent="0.3">
      <c r="A478" s="16">
        <v>182</v>
      </c>
      <c r="B478" s="16">
        <v>4</v>
      </c>
      <c r="C478" s="16">
        <v>1</v>
      </c>
      <c r="D478" s="17">
        <v>12000</v>
      </c>
      <c r="E478" s="17">
        <f t="shared" si="7"/>
        <v>12000</v>
      </c>
      <c r="F478" s="16" t="str">
        <f>INDEX(Products!$B$2:$B$9,MATCH(B478,Products!$A$2:$A$9,0))</f>
        <v>E-Book Reader</v>
      </c>
      <c r="G478" s="16" t="str">
        <f>INDEX(Products!$C$2:$C$9,MATCH(B478,Products!$A$2:$A$9,0))</f>
        <v>Electronics</v>
      </c>
      <c r="H478" s="16">
        <f>INDEX(Orders!$F$2:$F$201,MATCH(A478,Orders!$A$2:$A$201,0))</f>
        <v>202306</v>
      </c>
      <c r="I478" s="16" t="str">
        <f>INDEX(Orders!$E$2:$E$201,MATCH(A478,Orders!$A$2:$A$201,0))</f>
        <v>Lucknow</v>
      </c>
    </row>
    <row r="479" spans="1:9" x14ac:dyDescent="0.3">
      <c r="A479" s="16">
        <v>183</v>
      </c>
      <c r="B479" s="16">
        <v>1</v>
      </c>
      <c r="C479" s="16">
        <v>2</v>
      </c>
      <c r="D479" s="17">
        <v>15000</v>
      </c>
      <c r="E479" s="17">
        <f t="shared" si="7"/>
        <v>30000</v>
      </c>
      <c r="F479" s="16" t="str">
        <f>INDEX(Products!$B$2:$B$9,MATCH(B479,Products!$A$2:$A$9,0))</f>
        <v>Smartphone 6"</v>
      </c>
      <c r="G479" s="16" t="str">
        <f>INDEX(Products!$C$2:$C$9,MATCH(B479,Products!$A$2:$A$9,0))</f>
        <v>Electronics</v>
      </c>
      <c r="H479" s="16">
        <f>INDEX(Orders!$F$2:$F$201,MATCH(A479,Orders!$A$2:$A$201,0))</f>
        <v>202308</v>
      </c>
      <c r="I479" s="16" t="str">
        <f>INDEX(Orders!$E$2:$E$201,MATCH(A479,Orders!$A$2:$A$201,0))</f>
        <v>Ahmedabad</v>
      </c>
    </row>
    <row r="480" spans="1:9" x14ac:dyDescent="0.3">
      <c r="A480" s="16">
        <v>183</v>
      </c>
      <c r="B480" s="16">
        <v>3</v>
      </c>
      <c r="C480" s="16">
        <v>1</v>
      </c>
      <c r="D480" s="17">
        <v>8000</v>
      </c>
      <c r="E480" s="17">
        <f t="shared" si="7"/>
        <v>8000</v>
      </c>
      <c r="F480" s="16" t="str">
        <f>INDEX(Products!$B$2:$B$9,MATCH(B480,Products!$A$2:$A$9,0))</f>
        <v>Bluetooth Headphones</v>
      </c>
      <c r="G480" s="16" t="str">
        <f>INDEX(Products!$C$2:$C$9,MATCH(B480,Products!$A$2:$A$9,0))</f>
        <v>Electronics</v>
      </c>
      <c r="H480" s="16">
        <f>INDEX(Orders!$F$2:$F$201,MATCH(A480,Orders!$A$2:$A$201,0))</f>
        <v>202308</v>
      </c>
      <c r="I480" s="16" t="str">
        <f>INDEX(Orders!$E$2:$E$201,MATCH(A480,Orders!$A$2:$A$201,0))</f>
        <v>Ahmedabad</v>
      </c>
    </row>
    <row r="481" spans="1:9" x14ac:dyDescent="0.3">
      <c r="A481" s="16">
        <v>183</v>
      </c>
      <c r="B481" s="16">
        <v>3</v>
      </c>
      <c r="C481" s="16">
        <v>1</v>
      </c>
      <c r="D481" s="17">
        <v>8000</v>
      </c>
      <c r="E481" s="17">
        <f t="shared" si="7"/>
        <v>8000</v>
      </c>
      <c r="F481" s="16" t="str">
        <f>INDEX(Products!$B$2:$B$9,MATCH(B481,Products!$A$2:$A$9,0))</f>
        <v>Bluetooth Headphones</v>
      </c>
      <c r="G481" s="16" t="str">
        <f>INDEX(Products!$C$2:$C$9,MATCH(B481,Products!$A$2:$A$9,0))</f>
        <v>Electronics</v>
      </c>
      <c r="H481" s="16">
        <f>INDEX(Orders!$F$2:$F$201,MATCH(A481,Orders!$A$2:$A$201,0))</f>
        <v>202308</v>
      </c>
      <c r="I481" s="16" t="str">
        <f>INDEX(Orders!$E$2:$E$201,MATCH(A481,Orders!$A$2:$A$201,0))</f>
        <v>Ahmedabad</v>
      </c>
    </row>
    <row r="482" spans="1:9" x14ac:dyDescent="0.3">
      <c r="A482" s="16">
        <v>184</v>
      </c>
      <c r="B482" s="16">
        <v>1</v>
      </c>
      <c r="C482" s="16">
        <v>2</v>
      </c>
      <c r="D482" s="17">
        <v>15000</v>
      </c>
      <c r="E482" s="17">
        <f t="shared" si="7"/>
        <v>30000</v>
      </c>
      <c r="F482" s="16" t="str">
        <f>INDEX(Products!$B$2:$B$9,MATCH(B482,Products!$A$2:$A$9,0))</f>
        <v>Smartphone 6"</v>
      </c>
      <c r="G482" s="16" t="str">
        <f>INDEX(Products!$C$2:$C$9,MATCH(B482,Products!$A$2:$A$9,0))</f>
        <v>Electronics</v>
      </c>
      <c r="H482" s="16">
        <f>INDEX(Orders!$F$2:$F$201,MATCH(A482,Orders!$A$2:$A$201,0))</f>
        <v>202307</v>
      </c>
      <c r="I482" s="16" t="str">
        <f>INDEX(Orders!$E$2:$E$201,MATCH(A482,Orders!$A$2:$A$201,0))</f>
        <v>Hyderabad</v>
      </c>
    </row>
    <row r="483" spans="1:9" x14ac:dyDescent="0.3">
      <c r="A483" s="16">
        <v>184</v>
      </c>
      <c r="B483" s="16">
        <v>5</v>
      </c>
      <c r="C483" s="16">
        <v>1</v>
      </c>
      <c r="D483" s="17">
        <v>5000</v>
      </c>
      <c r="E483" s="17">
        <f t="shared" si="7"/>
        <v>5000</v>
      </c>
      <c r="F483" s="16" t="str">
        <f>INDEX(Products!$B$2:$B$9,MATCH(B483,Products!$A$2:$A$9,0))</f>
        <v>Smartwatch Fitness Tracker</v>
      </c>
      <c r="G483" s="16" t="str">
        <f>INDEX(Products!$C$2:$C$9,MATCH(B483,Products!$A$2:$A$9,0))</f>
        <v>Wearable Tech</v>
      </c>
      <c r="H483" s="16">
        <f>INDEX(Orders!$F$2:$F$201,MATCH(A483,Orders!$A$2:$A$201,0))</f>
        <v>202307</v>
      </c>
      <c r="I483" s="16" t="str">
        <f>INDEX(Orders!$E$2:$E$201,MATCH(A483,Orders!$A$2:$A$201,0))</f>
        <v>Hyderabad</v>
      </c>
    </row>
    <row r="484" spans="1:9" x14ac:dyDescent="0.3">
      <c r="A484" s="16">
        <v>185</v>
      </c>
      <c r="B484" s="16">
        <v>6</v>
      </c>
      <c r="C484" s="16">
        <v>2</v>
      </c>
      <c r="D484" s="17">
        <v>7000</v>
      </c>
      <c r="E484" s="17">
        <f t="shared" si="7"/>
        <v>14000</v>
      </c>
      <c r="F484" s="16" t="str">
        <f>INDEX(Products!$B$2:$B$9,MATCH(B484,Products!$A$2:$A$9,0))</f>
        <v>Portable Bluetooth Speaker</v>
      </c>
      <c r="G484" s="16" t="str">
        <f>INDEX(Products!$C$2:$C$9,MATCH(B484,Products!$A$2:$A$9,0))</f>
        <v>Electronics</v>
      </c>
      <c r="H484" s="16">
        <f>INDEX(Orders!$F$2:$F$201,MATCH(A484,Orders!$A$2:$A$201,0))</f>
        <v>202310</v>
      </c>
      <c r="I484" s="16" t="str">
        <f>INDEX(Orders!$E$2:$E$201,MATCH(A484,Orders!$A$2:$A$201,0))</f>
        <v>Ahmedabad</v>
      </c>
    </row>
    <row r="485" spans="1:9" x14ac:dyDescent="0.3">
      <c r="A485" s="16">
        <v>185</v>
      </c>
      <c r="B485" s="16">
        <v>7</v>
      </c>
      <c r="C485" s="16">
        <v>1</v>
      </c>
      <c r="D485" s="17">
        <v>40000</v>
      </c>
      <c r="E485" s="17">
        <f t="shared" si="7"/>
        <v>40000</v>
      </c>
      <c r="F485" s="16" t="str">
        <f>INDEX(Products!$B$2:$B$9,MATCH(B485,Products!$A$2:$A$9,0))</f>
        <v>Digital SLR Camera</v>
      </c>
      <c r="G485" s="16" t="str">
        <f>INDEX(Products!$C$2:$C$9,MATCH(B485,Products!$A$2:$A$9,0))</f>
        <v>Photography</v>
      </c>
      <c r="H485" s="16">
        <f>INDEX(Orders!$F$2:$F$201,MATCH(A485,Orders!$A$2:$A$201,0))</f>
        <v>202310</v>
      </c>
      <c r="I485" s="16" t="str">
        <f>INDEX(Orders!$E$2:$E$201,MATCH(A485,Orders!$A$2:$A$201,0))</f>
        <v>Ahmedabad</v>
      </c>
    </row>
    <row r="486" spans="1:9" x14ac:dyDescent="0.3">
      <c r="A486" s="16">
        <v>185</v>
      </c>
      <c r="B486" s="16">
        <v>1</v>
      </c>
      <c r="C486" s="16">
        <v>1</v>
      </c>
      <c r="D486" s="17">
        <v>15000</v>
      </c>
      <c r="E486" s="17">
        <f t="shared" si="7"/>
        <v>15000</v>
      </c>
      <c r="F486" s="16" t="str">
        <f>INDEX(Products!$B$2:$B$9,MATCH(B486,Products!$A$2:$A$9,0))</f>
        <v>Smartphone 6"</v>
      </c>
      <c r="G486" s="16" t="str">
        <f>INDEX(Products!$C$2:$C$9,MATCH(B486,Products!$A$2:$A$9,0))</f>
        <v>Electronics</v>
      </c>
      <c r="H486" s="16">
        <f>INDEX(Orders!$F$2:$F$201,MATCH(A486,Orders!$A$2:$A$201,0))</f>
        <v>202310</v>
      </c>
      <c r="I486" s="16" t="str">
        <f>INDEX(Orders!$E$2:$E$201,MATCH(A486,Orders!$A$2:$A$201,0))</f>
        <v>Ahmedabad</v>
      </c>
    </row>
    <row r="487" spans="1:9" x14ac:dyDescent="0.3">
      <c r="A487" s="16">
        <v>186</v>
      </c>
      <c r="B487" s="16">
        <v>3</v>
      </c>
      <c r="C487" s="16">
        <v>3</v>
      </c>
      <c r="D487" s="17">
        <v>8000</v>
      </c>
      <c r="E487" s="17">
        <f t="shared" si="7"/>
        <v>24000</v>
      </c>
      <c r="F487" s="16" t="str">
        <f>INDEX(Products!$B$2:$B$9,MATCH(B487,Products!$A$2:$A$9,0))</f>
        <v>Bluetooth Headphones</v>
      </c>
      <c r="G487" s="16" t="str">
        <f>INDEX(Products!$C$2:$C$9,MATCH(B487,Products!$A$2:$A$9,0))</f>
        <v>Electronics</v>
      </c>
      <c r="H487" s="16">
        <f>INDEX(Orders!$F$2:$F$201,MATCH(A487,Orders!$A$2:$A$201,0))</f>
        <v>202309</v>
      </c>
      <c r="I487" s="16" t="str">
        <f>INDEX(Orders!$E$2:$E$201,MATCH(A487,Orders!$A$2:$A$201,0))</f>
        <v>Jaipur</v>
      </c>
    </row>
    <row r="488" spans="1:9" x14ac:dyDescent="0.3">
      <c r="A488" s="16">
        <v>186</v>
      </c>
      <c r="B488" s="16">
        <v>7</v>
      </c>
      <c r="C488" s="16">
        <v>2</v>
      </c>
      <c r="D488" s="17">
        <v>40000</v>
      </c>
      <c r="E488" s="17">
        <f t="shared" si="7"/>
        <v>80000</v>
      </c>
      <c r="F488" s="16" t="str">
        <f>INDEX(Products!$B$2:$B$9,MATCH(B488,Products!$A$2:$A$9,0))</f>
        <v>Digital SLR Camera</v>
      </c>
      <c r="G488" s="16" t="str">
        <f>INDEX(Products!$C$2:$C$9,MATCH(B488,Products!$A$2:$A$9,0))</f>
        <v>Photography</v>
      </c>
      <c r="H488" s="16">
        <f>INDEX(Orders!$F$2:$F$201,MATCH(A488,Orders!$A$2:$A$201,0))</f>
        <v>202309</v>
      </c>
      <c r="I488" s="16" t="str">
        <f>INDEX(Orders!$E$2:$E$201,MATCH(A488,Orders!$A$2:$A$201,0))</f>
        <v>Jaipur</v>
      </c>
    </row>
    <row r="489" spans="1:9" x14ac:dyDescent="0.3">
      <c r="A489" s="16">
        <v>187</v>
      </c>
      <c r="B489" s="16">
        <v>6</v>
      </c>
      <c r="C489" s="16">
        <v>3</v>
      </c>
      <c r="D489" s="17">
        <v>7000</v>
      </c>
      <c r="E489" s="17">
        <f t="shared" si="7"/>
        <v>21000</v>
      </c>
      <c r="F489" s="16" t="str">
        <f>INDEX(Products!$B$2:$B$9,MATCH(B489,Products!$A$2:$A$9,0))</f>
        <v>Portable Bluetooth Speaker</v>
      </c>
      <c r="G489" s="16" t="str">
        <f>INDEX(Products!$C$2:$C$9,MATCH(B489,Products!$A$2:$A$9,0))</f>
        <v>Electronics</v>
      </c>
      <c r="H489" s="16">
        <f>INDEX(Orders!$F$2:$F$201,MATCH(A489,Orders!$A$2:$A$201,0))</f>
        <v>202306</v>
      </c>
      <c r="I489" s="16" t="str">
        <f>INDEX(Orders!$E$2:$E$201,MATCH(A489,Orders!$A$2:$A$201,0))</f>
        <v>Hyderabad</v>
      </c>
    </row>
    <row r="490" spans="1:9" x14ac:dyDescent="0.3">
      <c r="A490" s="16">
        <v>188</v>
      </c>
      <c r="B490" s="16">
        <v>2</v>
      </c>
      <c r="C490" s="16">
        <v>1</v>
      </c>
      <c r="D490" s="17">
        <v>60000</v>
      </c>
      <c r="E490" s="17">
        <f t="shared" si="7"/>
        <v>60000</v>
      </c>
      <c r="F490" s="16" t="str">
        <f>INDEX(Products!$B$2:$B$9,MATCH(B490,Products!$A$2:$A$9,0))</f>
        <v>Laptop 15" Pro</v>
      </c>
      <c r="G490" s="16" t="str">
        <f>INDEX(Products!$C$2:$C$9,MATCH(B490,Products!$A$2:$A$9,0))</f>
        <v>Electronics</v>
      </c>
      <c r="H490" s="16">
        <f>INDEX(Orders!$F$2:$F$201,MATCH(A490,Orders!$A$2:$A$201,0))</f>
        <v>202307</v>
      </c>
      <c r="I490" s="16" t="str">
        <f>INDEX(Orders!$E$2:$E$201,MATCH(A490,Orders!$A$2:$A$201,0))</f>
        <v>Lucknow</v>
      </c>
    </row>
    <row r="491" spans="1:9" x14ac:dyDescent="0.3">
      <c r="A491" s="16">
        <v>188</v>
      </c>
      <c r="B491" s="16">
        <v>2</v>
      </c>
      <c r="C491" s="16">
        <v>3</v>
      </c>
      <c r="D491" s="17">
        <v>60000</v>
      </c>
      <c r="E491" s="17">
        <f t="shared" si="7"/>
        <v>180000</v>
      </c>
      <c r="F491" s="16" t="str">
        <f>INDEX(Products!$B$2:$B$9,MATCH(B491,Products!$A$2:$A$9,0))</f>
        <v>Laptop 15" Pro</v>
      </c>
      <c r="G491" s="16" t="str">
        <f>INDEX(Products!$C$2:$C$9,MATCH(B491,Products!$A$2:$A$9,0))</f>
        <v>Electronics</v>
      </c>
      <c r="H491" s="16">
        <f>INDEX(Orders!$F$2:$F$201,MATCH(A491,Orders!$A$2:$A$201,0))</f>
        <v>202307</v>
      </c>
      <c r="I491" s="16" t="str">
        <f>INDEX(Orders!$E$2:$E$201,MATCH(A491,Orders!$A$2:$A$201,0))</f>
        <v>Lucknow</v>
      </c>
    </row>
    <row r="492" spans="1:9" x14ac:dyDescent="0.3">
      <c r="A492" s="16">
        <v>188</v>
      </c>
      <c r="B492" s="16">
        <v>3</v>
      </c>
      <c r="C492" s="16">
        <v>3</v>
      </c>
      <c r="D492" s="17">
        <v>8000</v>
      </c>
      <c r="E492" s="17">
        <f t="shared" si="7"/>
        <v>24000</v>
      </c>
      <c r="F492" s="16" t="str">
        <f>INDEX(Products!$B$2:$B$9,MATCH(B492,Products!$A$2:$A$9,0))</f>
        <v>Bluetooth Headphones</v>
      </c>
      <c r="G492" s="16" t="str">
        <f>INDEX(Products!$C$2:$C$9,MATCH(B492,Products!$A$2:$A$9,0))</f>
        <v>Electronics</v>
      </c>
      <c r="H492" s="16">
        <f>INDEX(Orders!$F$2:$F$201,MATCH(A492,Orders!$A$2:$A$201,0))</f>
        <v>202307</v>
      </c>
      <c r="I492" s="16" t="str">
        <f>INDEX(Orders!$E$2:$E$201,MATCH(A492,Orders!$A$2:$A$201,0))</f>
        <v>Lucknow</v>
      </c>
    </row>
    <row r="493" spans="1:9" x14ac:dyDescent="0.3">
      <c r="A493" s="16">
        <v>188</v>
      </c>
      <c r="B493" s="16">
        <v>7</v>
      </c>
      <c r="C493" s="16">
        <v>3</v>
      </c>
      <c r="D493" s="17">
        <v>40000</v>
      </c>
      <c r="E493" s="17">
        <f t="shared" si="7"/>
        <v>120000</v>
      </c>
      <c r="F493" s="16" t="str">
        <f>INDEX(Products!$B$2:$B$9,MATCH(B493,Products!$A$2:$A$9,0))</f>
        <v>Digital SLR Camera</v>
      </c>
      <c r="G493" s="16" t="str">
        <f>INDEX(Products!$C$2:$C$9,MATCH(B493,Products!$A$2:$A$9,0))</f>
        <v>Photography</v>
      </c>
      <c r="H493" s="16">
        <f>INDEX(Orders!$F$2:$F$201,MATCH(A493,Orders!$A$2:$A$201,0))</f>
        <v>202307</v>
      </c>
      <c r="I493" s="16" t="str">
        <f>INDEX(Orders!$E$2:$E$201,MATCH(A493,Orders!$A$2:$A$201,0))</f>
        <v>Lucknow</v>
      </c>
    </row>
    <row r="494" spans="1:9" x14ac:dyDescent="0.3">
      <c r="A494" s="16">
        <v>189</v>
      </c>
      <c r="B494" s="16">
        <v>4</v>
      </c>
      <c r="C494" s="16">
        <v>1</v>
      </c>
      <c r="D494" s="17">
        <v>12000</v>
      </c>
      <c r="E494" s="17">
        <f t="shared" si="7"/>
        <v>12000</v>
      </c>
      <c r="F494" s="16" t="str">
        <f>INDEX(Products!$B$2:$B$9,MATCH(B494,Products!$A$2:$A$9,0))</f>
        <v>E-Book Reader</v>
      </c>
      <c r="G494" s="16" t="str">
        <f>INDEX(Products!$C$2:$C$9,MATCH(B494,Products!$A$2:$A$9,0))</f>
        <v>Electronics</v>
      </c>
      <c r="H494" s="16">
        <f>INDEX(Orders!$F$2:$F$201,MATCH(A494,Orders!$A$2:$A$201,0))</f>
        <v>202312</v>
      </c>
      <c r="I494" s="16" t="str">
        <f>INDEX(Orders!$E$2:$E$201,MATCH(A494,Orders!$A$2:$A$201,0))</f>
        <v>Jaipur</v>
      </c>
    </row>
    <row r="495" spans="1:9" x14ac:dyDescent="0.3">
      <c r="A495" s="16">
        <v>190</v>
      </c>
      <c r="B495" s="16">
        <v>7</v>
      </c>
      <c r="C495" s="16">
        <v>2</v>
      </c>
      <c r="D495" s="17">
        <v>40000</v>
      </c>
      <c r="E495" s="17">
        <f t="shared" si="7"/>
        <v>80000</v>
      </c>
      <c r="F495" s="16" t="str">
        <f>INDEX(Products!$B$2:$B$9,MATCH(B495,Products!$A$2:$A$9,0))</f>
        <v>Digital SLR Camera</v>
      </c>
      <c r="G495" s="16" t="str">
        <f>INDEX(Products!$C$2:$C$9,MATCH(B495,Products!$A$2:$A$9,0))</f>
        <v>Photography</v>
      </c>
      <c r="H495" s="16">
        <f>INDEX(Orders!$F$2:$F$201,MATCH(A495,Orders!$A$2:$A$201,0))</f>
        <v>202307</v>
      </c>
      <c r="I495" s="16" t="str">
        <f>INDEX(Orders!$E$2:$E$201,MATCH(A495,Orders!$A$2:$A$201,0))</f>
        <v>Delhi</v>
      </c>
    </row>
    <row r="496" spans="1:9" x14ac:dyDescent="0.3">
      <c r="A496" s="16">
        <v>190</v>
      </c>
      <c r="B496" s="16">
        <v>4</v>
      </c>
      <c r="C496" s="16">
        <v>3</v>
      </c>
      <c r="D496" s="17">
        <v>12000</v>
      </c>
      <c r="E496" s="17">
        <f t="shared" si="7"/>
        <v>36000</v>
      </c>
      <c r="F496" s="16" t="str">
        <f>INDEX(Products!$B$2:$B$9,MATCH(B496,Products!$A$2:$A$9,0))</f>
        <v>E-Book Reader</v>
      </c>
      <c r="G496" s="16" t="str">
        <f>INDEX(Products!$C$2:$C$9,MATCH(B496,Products!$A$2:$A$9,0))</f>
        <v>Electronics</v>
      </c>
      <c r="H496" s="16">
        <f>INDEX(Orders!$F$2:$F$201,MATCH(A496,Orders!$A$2:$A$201,0))</f>
        <v>202307</v>
      </c>
      <c r="I496" s="16" t="str">
        <f>INDEX(Orders!$E$2:$E$201,MATCH(A496,Orders!$A$2:$A$201,0))</f>
        <v>Delhi</v>
      </c>
    </row>
    <row r="497" spans="1:9" x14ac:dyDescent="0.3">
      <c r="A497" s="16">
        <v>190</v>
      </c>
      <c r="B497" s="16">
        <v>8</v>
      </c>
      <c r="C497" s="16">
        <v>3</v>
      </c>
      <c r="D497" s="17">
        <v>3000</v>
      </c>
      <c r="E497" s="17">
        <f t="shared" si="7"/>
        <v>9000</v>
      </c>
      <c r="F497" s="16" t="str">
        <f>INDEX(Products!$B$2:$B$9,MATCH(B497,Products!$A$2:$A$9,0))</f>
        <v>Wireless Earbuds</v>
      </c>
      <c r="G497" s="16" t="str">
        <f>INDEX(Products!$C$2:$C$9,MATCH(B497,Products!$A$2:$A$9,0))</f>
        <v>Wearable Tech</v>
      </c>
      <c r="H497" s="16">
        <f>INDEX(Orders!$F$2:$F$201,MATCH(A497,Orders!$A$2:$A$201,0))</f>
        <v>202307</v>
      </c>
      <c r="I497" s="16" t="str">
        <f>INDEX(Orders!$E$2:$E$201,MATCH(A497,Orders!$A$2:$A$201,0))</f>
        <v>Delhi</v>
      </c>
    </row>
    <row r="498" spans="1:9" x14ac:dyDescent="0.3">
      <c r="A498" s="16">
        <v>191</v>
      </c>
      <c r="B498" s="16">
        <v>5</v>
      </c>
      <c r="C498" s="16">
        <v>1</v>
      </c>
      <c r="D498" s="17">
        <v>5000</v>
      </c>
      <c r="E498" s="17">
        <f t="shared" si="7"/>
        <v>5000</v>
      </c>
      <c r="F498" s="16" t="str">
        <f>INDEX(Products!$B$2:$B$9,MATCH(B498,Products!$A$2:$A$9,0))</f>
        <v>Smartwatch Fitness Tracker</v>
      </c>
      <c r="G498" s="16" t="str">
        <f>INDEX(Products!$C$2:$C$9,MATCH(B498,Products!$A$2:$A$9,0))</f>
        <v>Wearable Tech</v>
      </c>
      <c r="H498" s="16">
        <f>INDEX(Orders!$F$2:$F$201,MATCH(A498,Orders!$A$2:$A$201,0))</f>
        <v>202401</v>
      </c>
      <c r="I498" s="16" t="str">
        <f>INDEX(Orders!$E$2:$E$201,MATCH(A498,Orders!$A$2:$A$201,0))</f>
        <v>Ahmedabad</v>
      </c>
    </row>
    <row r="499" spans="1:9" x14ac:dyDescent="0.3">
      <c r="A499" s="16">
        <v>191</v>
      </c>
      <c r="B499" s="16">
        <v>8</v>
      </c>
      <c r="C499" s="16">
        <v>3</v>
      </c>
      <c r="D499" s="17">
        <v>3000</v>
      </c>
      <c r="E499" s="17">
        <f t="shared" si="7"/>
        <v>9000</v>
      </c>
      <c r="F499" s="16" t="str">
        <f>INDEX(Products!$B$2:$B$9,MATCH(B499,Products!$A$2:$A$9,0))</f>
        <v>Wireless Earbuds</v>
      </c>
      <c r="G499" s="16" t="str">
        <f>INDEX(Products!$C$2:$C$9,MATCH(B499,Products!$A$2:$A$9,0))</f>
        <v>Wearable Tech</v>
      </c>
      <c r="H499" s="16">
        <f>INDEX(Orders!$F$2:$F$201,MATCH(A499,Orders!$A$2:$A$201,0))</f>
        <v>202401</v>
      </c>
      <c r="I499" s="16" t="str">
        <f>INDEX(Orders!$E$2:$E$201,MATCH(A499,Orders!$A$2:$A$201,0))</f>
        <v>Ahmedabad</v>
      </c>
    </row>
    <row r="500" spans="1:9" x14ac:dyDescent="0.3">
      <c r="A500" s="16">
        <v>192</v>
      </c>
      <c r="B500" s="16">
        <v>7</v>
      </c>
      <c r="C500" s="16">
        <v>1</v>
      </c>
      <c r="D500" s="17">
        <v>40000</v>
      </c>
      <c r="E500" s="17">
        <f t="shared" si="7"/>
        <v>40000</v>
      </c>
      <c r="F500" s="16" t="str">
        <f>INDEX(Products!$B$2:$B$9,MATCH(B500,Products!$A$2:$A$9,0))</f>
        <v>Digital SLR Camera</v>
      </c>
      <c r="G500" s="16" t="str">
        <f>INDEX(Products!$C$2:$C$9,MATCH(B500,Products!$A$2:$A$9,0))</f>
        <v>Photography</v>
      </c>
      <c r="H500" s="16">
        <f>INDEX(Orders!$F$2:$F$201,MATCH(A500,Orders!$A$2:$A$201,0))</f>
        <v>202308</v>
      </c>
      <c r="I500" s="16" t="str">
        <f>INDEX(Orders!$E$2:$E$201,MATCH(A500,Orders!$A$2:$A$201,0))</f>
        <v>Bangalore</v>
      </c>
    </row>
    <row r="501" spans="1:9" x14ac:dyDescent="0.3">
      <c r="A501" s="16">
        <v>193</v>
      </c>
      <c r="B501" s="16">
        <v>1</v>
      </c>
      <c r="C501" s="16">
        <v>3</v>
      </c>
      <c r="D501" s="17">
        <v>15000</v>
      </c>
      <c r="E501" s="17">
        <f t="shared" si="7"/>
        <v>45000</v>
      </c>
      <c r="F501" s="16" t="str">
        <f>INDEX(Products!$B$2:$B$9,MATCH(B501,Products!$A$2:$A$9,0))</f>
        <v>Smartphone 6"</v>
      </c>
      <c r="G501" s="16" t="str">
        <f>INDEX(Products!$C$2:$C$9,MATCH(B501,Products!$A$2:$A$9,0))</f>
        <v>Electronics</v>
      </c>
      <c r="H501" s="16">
        <f>INDEX(Orders!$F$2:$F$201,MATCH(A501,Orders!$A$2:$A$201,0))</f>
        <v>202310</v>
      </c>
      <c r="I501" s="16" t="str">
        <f>INDEX(Orders!$E$2:$E$201,MATCH(A501,Orders!$A$2:$A$201,0))</f>
        <v>Delhi</v>
      </c>
    </row>
    <row r="502" spans="1:9" x14ac:dyDescent="0.3">
      <c r="A502" s="16">
        <v>193</v>
      </c>
      <c r="B502" s="16">
        <v>3</v>
      </c>
      <c r="C502" s="16">
        <v>2</v>
      </c>
      <c r="D502" s="17">
        <v>8000</v>
      </c>
      <c r="E502" s="17">
        <f t="shared" si="7"/>
        <v>16000</v>
      </c>
      <c r="F502" s="16" t="str">
        <f>INDEX(Products!$B$2:$B$9,MATCH(B502,Products!$A$2:$A$9,0))</f>
        <v>Bluetooth Headphones</v>
      </c>
      <c r="G502" s="16" t="str">
        <f>INDEX(Products!$C$2:$C$9,MATCH(B502,Products!$A$2:$A$9,0))</f>
        <v>Electronics</v>
      </c>
      <c r="H502" s="16">
        <f>INDEX(Orders!$F$2:$F$201,MATCH(A502,Orders!$A$2:$A$201,0))</f>
        <v>202310</v>
      </c>
      <c r="I502" s="16" t="str">
        <f>INDEX(Orders!$E$2:$E$201,MATCH(A502,Orders!$A$2:$A$201,0))</f>
        <v>Delhi</v>
      </c>
    </row>
    <row r="503" spans="1:9" x14ac:dyDescent="0.3">
      <c r="A503" s="16">
        <v>194</v>
      </c>
      <c r="B503" s="16">
        <v>6</v>
      </c>
      <c r="C503" s="16">
        <v>3</v>
      </c>
      <c r="D503" s="17">
        <v>7000</v>
      </c>
      <c r="E503" s="17">
        <f t="shared" si="7"/>
        <v>21000</v>
      </c>
      <c r="F503" s="16" t="str">
        <f>INDEX(Products!$B$2:$B$9,MATCH(B503,Products!$A$2:$A$9,0))</f>
        <v>Portable Bluetooth Speaker</v>
      </c>
      <c r="G503" s="16" t="str">
        <f>INDEX(Products!$C$2:$C$9,MATCH(B503,Products!$A$2:$A$9,0))</f>
        <v>Electronics</v>
      </c>
      <c r="H503" s="16">
        <f>INDEX(Orders!$F$2:$F$201,MATCH(A503,Orders!$A$2:$A$201,0))</f>
        <v>202312</v>
      </c>
      <c r="I503" s="16" t="str">
        <f>INDEX(Orders!$E$2:$E$201,MATCH(A503,Orders!$A$2:$A$201,0))</f>
        <v>Delhi</v>
      </c>
    </row>
    <row r="504" spans="1:9" x14ac:dyDescent="0.3">
      <c r="A504" s="16">
        <v>194</v>
      </c>
      <c r="B504" s="16">
        <v>5</v>
      </c>
      <c r="C504" s="16">
        <v>1</v>
      </c>
      <c r="D504" s="17">
        <v>5000</v>
      </c>
      <c r="E504" s="17">
        <f t="shared" si="7"/>
        <v>5000</v>
      </c>
      <c r="F504" s="16" t="str">
        <f>INDEX(Products!$B$2:$B$9,MATCH(B504,Products!$A$2:$A$9,0))</f>
        <v>Smartwatch Fitness Tracker</v>
      </c>
      <c r="G504" s="16" t="str">
        <f>INDEX(Products!$C$2:$C$9,MATCH(B504,Products!$A$2:$A$9,0))</f>
        <v>Wearable Tech</v>
      </c>
      <c r="H504" s="16">
        <f>INDEX(Orders!$F$2:$F$201,MATCH(A504,Orders!$A$2:$A$201,0))</f>
        <v>202312</v>
      </c>
      <c r="I504" s="16" t="str">
        <f>INDEX(Orders!$E$2:$E$201,MATCH(A504,Orders!$A$2:$A$201,0))</f>
        <v>Delhi</v>
      </c>
    </row>
    <row r="505" spans="1:9" x14ac:dyDescent="0.3">
      <c r="A505" s="16">
        <v>194</v>
      </c>
      <c r="B505" s="16">
        <v>6</v>
      </c>
      <c r="C505" s="16">
        <v>1</v>
      </c>
      <c r="D505" s="17">
        <v>7000</v>
      </c>
      <c r="E505" s="17">
        <f t="shared" si="7"/>
        <v>7000</v>
      </c>
      <c r="F505" s="16" t="str">
        <f>INDEX(Products!$B$2:$B$9,MATCH(B505,Products!$A$2:$A$9,0))</f>
        <v>Portable Bluetooth Speaker</v>
      </c>
      <c r="G505" s="16" t="str">
        <f>INDEX(Products!$C$2:$C$9,MATCH(B505,Products!$A$2:$A$9,0))</f>
        <v>Electronics</v>
      </c>
      <c r="H505" s="16">
        <f>INDEX(Orders!$F$2:$F$201,MATCH(A505,Orders!$A$2:$A$201,0))</f>
        <v>202312</v>
      </c>
      <c r="I505" s="16" t="str">
        <f>INDEX(Orders!$E$2:$E$201,MATCH(A505,Orders!$A$2:$A$201,0))</f>
        <v>Delhi</v>
      </c>
    </row>
    <row r="506" spans="1:9" x14ac:dyDescent="0.3">
      <c r="A506" s="16">
        <v>194</v>
      </c>
      <c r="B506" s="16">
        <v>1</v>
      </c>
      <c r="C506" s="16">
        <v>3</v>
      </c>
      <c r="D506" s="17">
        <v>15000</v>
      </c>
      <c r="E506" s="17">
        <f t="shared" si="7"/>
        <v>45000</v>
      </c>
      <c r="F506" s="16" t="str">
        <f>INDEX(Products!$B$2:$B$9,MATCH(B506,Products!$A$2:$A$9,0))</f>
        <v>Smartphone 6"</v>
      </c>
      <c r="G506" s="16" t="str">
        <f>INDEX(Products!$C$2:$C$9,MATCH(B506,Products!$A$2:$A$9,0))</f>
        <v>Electronics</v>
      </c>
      <c r="H506" s="16">
        <f>INDEX(Orders!$F$2:$F$201,MATCH(A506,Orders!$A$2:$A$201,0))</f>
        <v>202312</v>
      </c>
      <c r="I506" s="16" t="str">
        <f>INDEX(Orders!$E$2:$E$201,MATCH(A506,Orders!$A$2:$A$201,0))</f>
        <v>Delhi</v>
      </c>
    </row>
    <row r="507" spans="1:9" x14ac:dyDescent="0.3">
      <c r="A507" s="16">
        <v>195</v>
      </c>
      <c r="B507" s="16">
        <v>2</v>
      </c>
      <c r="C507" s="16">
        <v>3</v>
      </c>
      <c r="D507" s="17">
        <v>60000</v>
      </c>
      <c r="E507" s="17">
        <f t="shared" si="7"/>
        <v>180000</v>
      </c>
      <c r="F507" s="16" t="str">
        <f>INDEX(Products!$B$2:$B$9,MATCH(B507,Products!$A$2:$A$9,0))</f>
        <v>Laptop 15" Pro</v>
      </c>
      <c r="G507" s="16" t="str">
        <f>INDEX(Products!$C$2:$C$9,MATCH(B507,Products!$A$2:$A$9,0))</f>
        <v>Electronics</v>
      </c>
      <c r="H507" s="16">
        <f>INDEX(Orders!$F$2:$F$201,MATCH(A507,Orders!$A$2:$A$201,0))</f>
        <v>202307</v>
      </c>
      <c r="I507" s="16" t="str">
        <f>INDEX(Orders!$E$2:$E$201,MATCH(A507,Orders!$A$2:$A$201,0))</f>
        <v>Chennai</v>
      </c>
    </row>
    <row r="508" spans="1:9" x14ac:dyDescent="0.3">
      <c r="A508" s="16">
        <v>195</v>
      </c>
      <c r="B508" s="16">
        <v>3</v>
      </c>
      <c r="C508" s="16">
        <v>2</v>
      </c>
      <c r="D508" s="17">
        <v>8000</v>
      </c>
      <c r="E508" s="17">
        <f t="shared" si="7"/>
        <v>16000</v>
      </c>
      <c r="F508" s="16" t="str">
        <f>INDEX(Products!$B$2:$B$9,MATCH(B508,Products!$A$2:$A$9,0))</f>
        <v>Bluetooth Headphones</v>
      </c>
      <c r="G508" s="16" t="str">
        <f>INDEX(Products!$C$2:$C$9,MATCH(B508,Products!$A$2:$A$9,0))</f>
        <v>Electronics</v>
      </c>
      <c r="H508" s="16">
        <f>INDEX(Orders!$F$2:$F$201,MATCH(A508,Orders!$A$2:$A$201,0))</f>
        <v>202307</v>
      </c>
      <c r="I508" s="16" t="str">
        <f>INDEX(Orders!$E$2:$E$201,MATCH(A508,Orders!$A$2:$A$201,0))</f>
        <v>Chennai</v>
      </c>
    </row>
    <row r="509" spans="1:9" x14ac:dyDescent="0.3">
      <c r="A509" s="16">
        <v>195</v>
      </c>
      <c r="B509" s="16">
        <v>4</v>
      </c>
      <c r="C509" s="16">
        <v>3</v>
      </c>
      <c r="D509" s="17">
        <v>12000</v>
      </c>
      <c r="E509" s="17">
        <f t="shared" si="7"/>
        <v>36000</v>
      </c>
      <c r="F509" s="16" t="str">
        <f>INDEX(Products!$B$2:$B$9,MATCH(B509,Products!$A$2:$A$9,0))</f>
        <v>E-Book Reader</v>
      </c>
      <c r="G509" s="16" t="str">
        <f>INDEX(Products!$C$2:$C$9,MATCH(B509,Products!$A$2:$A$9,0))</f>
        <v>Electronics</v>
      </c>
      <c r="H509" s="16">
        <f>INDEX(Orders!$F$2:$F$201,MATCH(A509,Orders!$A$2:$A$201,0))</f>
        <v>202307</v>
      </c>
      <c r="I509" s="16" t="str">
        <f>INDEX(Orders!$E$2:$E$201,MATCH(A509,Orders!$A$2:$A$201,0))</f>
        <v>Chennai</v>
      </c>
    </row>
    <row r="510" spans="1:9" x14ac:dyDescent="0.3">
      <c r="A510" s="16">
        <v>196</v>
      </c>
      <c r="B510" s="16">
        <v>7</v>
      </c>
      <c r="C510" s="16">
        <v>3</v>
      </c>
      <c r="D510" s="17">
        <v>40000</v>
      </c>
      <c r="E510" s="17">
        <f t="shared" si="7"/>
        <v>120000</v>
      </c>
      <c r="F510" s="16" t="str">
        <f>INDEX(Products!$B$2:$B$9,MATCH(B510,Products!$A$2:$A$9,0))</f>
        <v>Digital SLR Camera</v>
      </c>
      <c r="G510" s="16" t="str">
        <f>INDEX(Products!$C$2:$C$9,MATCH(B510,Products!$A$2:$A$9,0))</f>
        <v>Photography</v>
      </c>
      <c r="H510" s="16">
        <f>INDEX(Orders!$F$2:$F$201,MATCH(A510,Orders!$A$2:$A$201,0))</f>
        <v>202304</v>
      </c>
      <c r="I510" s="16" t="str">
        <f>INDEX(Orders!$E$2:$E$201,MATCH(A510,Orders!$A$2:$A$201,0))</f>
        <v>Chennai</v>
      </c>
    </row>
    <row r="511" spans="1:9" x14ac:dyDescent="0.3">
      <c r="A511" s="16">
        <v>196</v>
      </c>
      <c r="B511" s="16">
        <v>8</v>
      </c>
      <c r="C511" s="16">
        <v>2</v>
      </c>
      <c r="D511" s="17">
        <v>3000</v>
      </c>
      <c r="E511" s="17">
        <f t="shared" si="7"/>
        <v>6000</v>
      </c>
      <c r="F511" s="16" t="str">
        <f>INDEX(Products!$B$2:$B$9,MATCH(B511,Products!$A$2:$A$9,0))</f>
        <v>Wireless Earbuds</v>
      </c>
      <c r="G511" s="16" t="str">
        <f>INDEX(Products!$C$2:$C$9,MATCH(B511,Products!$A$2:$A$9,0))</f>
        <v>Wearable Tech</v>
      </c>
      <c r="H511" s="16">
        <f>INDEX(Orders!$F$2:$F$201,MATCH(A511,Orders!$A$2:$A$201,0))</f>
        <v>202304</v>
      </c>
      <c r="I511" s="16" t="str">
        <f>INDEX(Orders!$E$2:$E$201,MATCH(A511,Orders!$A$2:$A$201,0))</f>
        <v>Chennai</v>
      </c>
    </row>
    <row r="512" spans="1:9" x14ac:dyDescent="0.3">
      <c r="A512" s="16">
        <v>197</v>
      </c>
      <c r="B512" s="16">
        <v>2</v>
      </c>
      <c r="C512" s="16">
        <v>2</v>
      </c>
      <c r="D512" s="17">
        <v>60000</v>
      </c>
      <c r="E512" s="17">
        <f t="shared" si="7"/>
        <v>120000</v>
      </c>
      <c r="F512" s="16" t="str">
        <f>INDEX(Products!$B$2:$B$9,MATCH(B512,Products!$A$2:$A$9,0))</f>
        <v>Laptop 15" Pro</v>
      </c>
      <c r="G512" s="16" t="str">
        <f>INDEX(Products!$C$2:$C$9,MATCH(B512,Products!$A$2:$A$9,0))</f>
        <v>Electronics</v>
      </c>
      <c r="H512" s="16">
        <f>INDEX(Orders!$F$2:$F$201,MATCH(A512,Orders!$A$2:$A$201,0))</f>
        <v>202306</v>
      </c>
      <c r="I512" s="16" t="str">
        <f>INDEX(Orders!$E$2:$E$201,MATCH(A512,Orders!$A$2:$A$201,0))</f>
        <v>Chennai</v>
      </c>
    </row>
    <row r="513" spans="1:9" x14ac:dyDescent="0.3">
      <c r="A513" s="16">
        <v>198</v>
      </c>
      <c r="B513" s="16">
        <v>2</v>
      </c>
      <c r="C513" s="16">
        <v>2</v>
      </c>
      <c r="D513" s="17">
        <v>60000</v>
      </c>
      <c r="E513" s="17">
        <f t="shared" si="7"/>
        <v>120000</v>
      </c>
      <c r="F513" s="16" t="str">
        <f>INDEX(Products!$B$2:$B$9,MATCH(B513,Products!$A$2:$A$9,0))</f>
        <v>Laptop 15" Pro</v>
      </c>
      <c r="G513" s="16" t="str">
        <f>INDEX(Products!$C$2:$C$9,MATCH(B513,Products!$A$2:$A$9,0))</f>
        <v>Electronics</v>
      </c>
      <c r="H513" s="16">
        <f>INDEX(Orders!$F$2:$F$201,MATCH(A513,Orders!$A$2:$A$201,0))</f>
        <v>202309</v>
      </c>
      <c r="I513" s="16" t="str">
        <f>INDEX(Orders!$E$2:$E$201,MATCH(A513,Orders!$A$2:$A$201,0))</f>
        <v>Hyderabad</v>
      </c>
    </row>
    <row r="514" spans="1:9" x14ac:dyDescent="0.3">
      <c r="A514" s="16">
        <v>198</v>
      </c>
      <c r="B514" s="16">
        <v>5</v>
      </c>
      <c r="C514" s="16">
        <v>3</v>
      </c>
      <c r="D514" s="17">
        <v>5000</v>
      </c>
      <c r="E514" s="17">
        <f t="shared" ref="E514:E577" si="8">C514*D514</f>
        <v>15000</v>
      </c>
      <c r="F514" s="16" t="str">
        <f>INDEX(Products!$B$2:$B$9,MATCH(B514,Products!$A$2:$A$9,0))</f>
        <v>Smartwatch Fitness Tracker</v>
      </c>
      <c r="G514" s="16" t="str">
        <f>INDEX(Products!$C$2:$C$9,MATCH(B514,Products!$A$2:$A$9,0))</f>
        <v>Wearable Tech</v>
      </c>
      <c r="H514" s="16">
        <f>INDEX(Orders!$F$2:$F$201,MATCH(A514,Orders!$A$2:$A$201,0))</f>
        <v>202309</v>
      </c>
      <c r="I514" s="16" t="str">
        <f>INDEX(Orders!$E$2:$E$201,MATCH(A514,Orders!$A$2:$A$201,0))</f>
        <v>Hyderabad</v>
      </c>
    </row>
    <row r="515" spans="1:9" x14ac:dyDescent="0.3">
      <c r="A515" s="16">
        <v>198</v>
      </c>
      <c r="B515" s="16">
        <v>3</v>
      </c>
      <c r="C515" s="16">
        <v>2</v>
      </c>
      <c r="D515" s="17">
        <v>8000</v>
      </c>
      <c r="E515" s="17">
        <f t="shared" si="8"/>
        <v>16000</v>
      </c>
      <c r="F515" s="16" t="str">
        <f>INDEX(Products!$B$2:$B$9,MATCH(B515,Products!$A$2:$A$9,0))</f>
        <v>Bluetooth Headphones</v>
      </c>
      <c r="G515" s="16" t="str">
        <f>INDEX(Products!$C$2:$C$9,MATCH(B515,Products!$A$2:$A$9,0))</f>
        <v>Electronics</v>
      </c>
      <c r="H515" s="16">
        <f>INDEX(Orders!$F$2:$F$201,MATCH(A515,Orders!$A$2:$A$201,0))</f>
        <v>202309</v>
      </c>
      <c r="I515" s="16" t="str">
        <f>INDEX(Orders!$E$2:$E$201,MATCH(A515,Orders!$A$2:$A$201,0))</f>
        <v>Hyderabad</v>
      </c>
    </row>
    <row r="516" spans="1:9" x14ac:dyDescent="0.3">
      <c r="A516" s="16">
        <v>199</v>
      </c>
      <c r="B516" s="16">
        <v>3</v>
      </c>
      <c r="C516" s="16">
        <v>1</v>
      </c>
      <c r="D516" s="17">
        <v>8000</v>
      </c>
      <c r="E516" s="17">
        <f t="shared" si="8"/>
        <v>8000</v>
      </c>
      <c r="F516" s="16" t="str">
        <f>INDEX(Products!$B$2:$B$9,MATCH(B516,Products!$A$2:$A$9,0))</f>
        <v>Bluetooth Headphones</v>
      </c>
      <c r="G516" s="16" t="str">
        <f>INDEX(Products!$C$2:$C$9,MATCH(B516,Products!$A$2:$A$9,0))</f>
        <v>Electronics</v>
      </c>
      <c r="H516" s="16">
        <f>INDEX(Orders!$F$2:$F$201,MATCH(A516,Orders!$A$2:$A$201,0))</f>
        <v>202309</v>
      </c>
      <c r="I516" s="16" t="str">
        <f>INDEX(Orders!$E$2:$E$201,MATCH(A516,Orders!$A$2:$A$201,0))</f>
        <v>Kolkata</v>
      </c>
    </row>
    <row r="517" spans="1:9" x14ac:dyDescent="0.3">
      <c r="A517" s="16">
        <v>199</v>
      </c>
      <c r="B517" s="16">
        <v>1</v>
      </c>
      <c r="C517" s="16">
        <v>1</v>
      </c>
      <c r="D517" s="17">
        <v>15000</v>
      </c>
      <c r="E517" s="17">
        <f t="shared" si="8"/>
        <v>15000</v>
      </c>
      <c r="F517" s="16" t="str">
        <f>INDEX(Products!$B$2:$B$9,MATCH(B517,Products!$A$2:$A$9,0))</f>
        <v>Smartphone 6"</v>
      </c>
      <c r="G517" s="16" t="str">
        <f>INDEX(Products!$C$2:$C$9,MATCH(B517,Products!$A$2:$A$9,0))</f>
        <v>Electronics</v>
      </c>
      <c r="H517" s="16">
        <f>INDEX(Orders!$F$2:$F$201,MATCH(A517,Orders!$A$2:$A$201,0))</f>
        <v>202309</v>
      </c>
      <c r="I517" s="16" t="str">
        <f>INDEX(Orders!$E$2:$E$201,MATCH(A517,Orders!$A$2:$A$201,0))</f>
        <v>Kolkata</v>
      </c>
    </row>
    <row r="518" spans="1:9" x14ac:dyDescent="0.3">
      <c r="A518" s="16">
        <v>200</v>
      </c>
      <c r="B518" s="16">
        <v>5</v>
      </c>
      <c r="C518" s="16">
        <v>2</v>
      </c>
      <c r="D518" s="17">
        <v>5000</v>
      </c>
      <c r="E518" s="17">
        <f t="shared" si="8"/>
        <v>10000</v>
      </c>
      <c r="F518" s="16" t="str">
        <f>INDEX(Products!$B$2:$B$9,MATCH(B518,Products!$A$2:$A$9,0))</f>
        <v>Smartwatch Fitness Tracker</v>
      </c>
      <c r="G518" s="16" t="str">
        <f>INDEX(Products!$C$2:$C$9,MATCH(B518,Products!$A$2:$A$9,0))</f>
        <v>Wearable Tech</v>
      </c>
      <c r="H518" s="16">
        <f>INDEX(Orders!$F$2:$F$201,MATCH(A518,Orders!$A$2:$A$201,0))</f>
        <v>202306</v>
      </c>
      <c r="I518" s="16" t="str">
        <f>INDEX(Orders!$E$2:$E$201,MATCH(A518,Orders!$A$2:$A$201,0))</f>
        <v>Pune</v>
      </c>
    </row>
    <row r="519" spans="1:9" x14ac:dyDescent="0.3">
      <c r="A519" s="16">
        <v>200</v>
      </c>
      <c r="B519" s="16">
        <v>2</v>
      </c>
      <c r="C519" s="16">
        <v>2</v>
      </c>
      <c r="D519" s="17">
        <v>60000</v>
      </c>
      <c r="E519" s="17">
        <f t="shared" si="8"/>
        <v>120000</v>
      </c>
      <c r="F519" s="16" t="str">
        <f>INDEX(Products!$B$2:$B$9,MATCH(B519,Products!$A$2:$A$9,0))</f>
        <v>Laptop 15" Pro</v>
      </c>
      <c r="G519" s="16" t="str">
        <f>INDEX(Products!$C$2:$C$9,MATCH(B519,Products!$A$2:$A$9,0))</f>
        <v>Electronics</v>
      </c>
      <c r="H519" s="16">
        <f>INDEX(Orders!$F$2:$F$201,MATCH(A519,Orders!$A$2:$A$201,0))</f>
        <v>202306</v>
      </c>
      <c r="I519" s="16" t="str">
        <f>INDEX(Orders!$E$2:$E$201,MATCH(A519,Orders!$A$2:$A$201,0))</f>
        <v>Pune</v>
      </c>
    </row>
    <row r="520" spans="1:9" x14ac:dyDescent="0.3">
      <c r="A520" s="16">
        <v>200</v>
      </c>
      <c r="B520" s="16">
        <v>6</v>
      </c>
      <c r="C520" s="16">
        <v>3</v>
      </c>
      <c r="D520" s="17">
        <v>7000</v>
      </c>
      <c r="E520" s="17">
        <f t="shared" si="8"/>
        <v>21000</v>
      </c>
      <c r="F520" s="16" t="str">
        <f>INDEX(Products!$B$2:$B$9,MATCH(B520,Products!$A$2:$A$9,0))</f>
        <v>Portable Bluetooth Speaker</v>
      </c>
      <c r="G520" s="16" t="str">
        <f>INDEX(Products!$C$2:$C$9,MATCH(B520,Products!$A$2:$A$9,0))</f>
        <v>Electronics</v>
      </c>
      <c r="H520" s="16">
        <f>INDEX(Orders!$F$2:$F$201,MATCH(A520,Orders!$A$2:$A$201,0))</f>
        <v>202306</v>
      </c>
      <c r="I520" s="16" t="str">
        <f>INDEX(Orders!$E$2:$E$201,MATCH(A520,Orders!$A$2:$A$201,0))</f>
        <v>Pune</v>
      </c>
    </row>
  </sheetData>
  <autoFilter ref="A1:I52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12" customWidth="1"/>
    <col min="4" max="4" width="16" customWidth="1"/>
    <col min="5" max="5" width="13" customWidth="1"/>
    <col min="6" max="9" width="12" customWidth="1"/>
    <col min="10" max="10" width="15" customWidth="1"/>
    <col min="12" max="12" width="20" customWidth="1"/>
    <col min="13" max="13" width="12" customWidth="1"/>
    <col min="14" max="14" width="16" customWidth="1"/>
    <col min="15" max="15" width="14" customWidth="1"/>
  </cols>
  <sheetData>
    <row r="1" spans="1:15" x14ac:dyDescent="0.3">
      <c r="A1" s="8" t="s">
        <v>74</v>
      </c>
      <c r="B1" s="8" t="s">
        <v>75</v>
      </c>
      <c r="C1" s="8" t="s">
        <v>76</v>
      </c>
      <c r="D1" s="8" t="s">
        <v>191</v>
      </c>
      <c r="E1" s="8" t="s">
        <v>192</v>
      </c>
      <c r="F1" s="8" t="s">
        <v>193</v>
      </c>
      <c r="G1" s="8" t="s">
        <v>194</v>
      </c>
      <c r="H1" s="8" t="s">
        <v>195</v>
      </c>
      <c r="I1" s="8" t="s">
        <v>196</v>
      </c>
      <c r="J1" s="8" t="s">
        <v>197</v>
      </c>
      <c r="L1" s="2" t="s">
        <v>198</v>
      </c>
    </row>
    <row r="2" spans="1:15" x14ac:dyDescent="0.3">
      <c r="A2" s="16">
        <v>32</v>
      </c>
      <c r="B2" s="16" t="s">
        <v>111</v>
      </c>
      <c r="C2" s="16" t="s">
        <v>49</v>
      </c>
      <c r="D2" s="16">
        <v>92</v>
      </c>
      <c r="E2" s="16">
        <v>6</v>
      </c>
      <c r="F2" s="17">
        <v>889000</v>
      </c>
      <c r="G2" s="16">
        <v>3</v>
      </c>
      <c r="H2" s="16">
        <v>4</v>
      </c>
      <c r="I2" s="16">
        <v>4</v>
      </c>
      <c r="J2" s="16" t="s">
        <v>69</v>
      </c>
    </row>
    <row r="3" spans="1:15" ht="27.6" x14ac:dyDescent="0.3">
      <c r="A3" s="16">
        <v>17</v>
      </c>
      <c r="B3" s="16" t="s">
        <v>96</v>
      </c>
      <c r="C3" s="16" t="s">
        <v>51</v>
      </c>
      <c r="D3" s="16">
        <v>52</v>
      </c>
      <c r="E3" s="16">
        <v>4</v>
      </c>
      <c r="F3" s="17">
        <v>864000</v>
      </c>
      <c r="G3" s="16">
        <v>4</v>
      </c>
      <c r="H3" s="16">
        <v>4</v>
      </c>
      <c r="I3" s="16">
        <v>4</v>
      </c>
      <c r="J3" s="16" t="s">
        <v>69</v>
      </c>
      <c r="L3" s="8" t="s">
        <v>60</v>
      </c>
      <c r="M3" s="8" t="s">
        <v>48</v>
      </c>
      <c r="N3" s="8" t="s">
        <v>30</v>
      </c>
      <c r="O3" s="8" t="s">
        <v>68</v>
      </c>
    </row>
    <row r="4" spans="1:15" x14ac:dyDescent="0.3">
      <c r="A4" s="16">
        <v>51</v>
      </c>
      <c r="B4" s="16" t="s">
        <v>130</v>
      </c>
      <c r="C4" s="16" t="s">
        <v>50</v>
      </c>
      <c r="D4" s="16">
        <v>0</v>
      </c>
      <c r="E4" s="16">
        <v>5</v>
      </c>
      <c r="F4" s="17">
        <v>713000</v>
      </c>
      <c r="G4" s="16">
        <v>4</v>
      </c>
      <c r="H4" s="16">
        <v>4</v>
      </c>
      <c r="I4" s="16">
        <v>4</v>
      </c>
      <c r="J4" s="16" t="s">
        <v>69</v>
      </c>
      <c r="L4" s="9" t="s">
        <v>69</v>
      </c>
      <c r="M4" s="9">
        <f>COUNTIF($J$2:$J$85,L4)</f>
        <v>23</v>
      </c>
      <c r="N4" s="11">
        <f>SUMIF($J$2:$J$85,L4,$F$2:$F$85)</f>
        <v>10440000</v>
      </c>
      <c r="O4" s="12">
        <f>N4/SUM($N$4:$N$8)</f>
        <v>0.52772582520345757</v>
      </c>
    </row>
    <row r="5" spans="1:15" x14ac:dyDescent="0.3">
      <c r="A5" s="16">
        <v>24</v>
      </c>
      <c r="B5" s="16" t="s">
        <v>103</v>
      </c>
      <c r="C5" s="16" t="s">
        <v>58</v>
      </c>
      <c r="D5" s="16">
        <v>36</v>
      </c>
      <c r="E5" s="16">
        <v>4</v>
      </c>
      <c r="F5" s="17">
        <v>693000</v>
      </c>
      <c r="G5" s="16">
        <v>4</v>
      </c>
      <c r="H5" s="16">
        <v>4</v>
      </c>
      <c r="I5" s="16">
        <v>4</v>
      </c>
      <c r="J5" s="16" t="s">
        <v>69</v>
      </c>
      <c r="L5" s="9" t="s">
        <v>70</v>
      </c>
      <c r="M5" s="9">
        <f>COUNTIF($J$2:$J$85,L5)</f>
        <v>12</v>
      </c>
      <c r="N5" s="11">
        <f>SUMIF($J$2:$J$85,L5,$F$2:$F$85)</f>
        <v>1441000</v>
      </c>
      <c r="O5" s="12">
        <f>N5/SUM($N$4:$N$8)</f>
        <v>7.2840317444270331E-2</v>
      </c>
    </row>
    <row r="6" spans="1:15" x14ac:dyDescent="0.3">
      <c r="A6" s="16">
        <v>100</v>
      </c>
      <c r="B6" s="16" t="s">
        <v>179</v>
      </c>
      <c r="C6" s="16" t="s">
        <v>54</v>
      </c>
      <c r="D6" s="16">
        <v>115</v>
      </c>
      <c r="E6" s="16">
        <v>3</v>
      </c>
      <c r="F6" s="17">
        <v>613000</v>
      </c>
      <c r="G6" s="16">
        <v>3</v>
      </c>
      <c r="H6" s="16">
        <v>4</v>
      </c>
      <c r="I6" s="16">
        <v>4</v>
      </c>
      <c r="J6" s="16" t="s">
        <v>69</v>
      </c>
      <c r="L6" s="9" t="s">
        <v>71</v>
      </c>
      <c r="M6" s="9">
        <f>COUNTIF($J$2:$J$85,L6)</f>
        <v>20</v>
      </c>
      <c r="N6" s="11">
        <f>SUMIF($J$2:$J$85,L6,$F$2:$F$85)</f>
        <v>3421000</v>
      </c>
      <c r="O6" s="12">
        <f>N6/SUM($N$4:$N$8)</f>
        <v>0.1729262498104433</v>
      </c>
    </row>
    <row r="7" spans="1:15" x14ac:dyDescent="0.3">
      <c r="A7" s="16">
        <v>57</v>
      </c>
      <c r="B7" s="16" t="s">
        <v>136</v>
      </c>
      <c r="C7" s="16" t="s">
        <v>53</v>
      </c>
      <c r="D7" s="16">
        <v>74</v>
      </c>
      <c r="E7" s="16">
        <v>8</v>
      </c>
      <c r="F7" s="17">
        <v>594000</v>
      </c>
      <c r="G7" s="16">
        <v>3</v>
      </c>
      <c r="H7" s="16">
        <v>4</v>
      </c>
      <c r="I7" s="16">
        <v>4</v>
      </c>
      <c r="J7" s="16" t="s">
        <v>69</v>
      </c>
      <c r="L7" s="9" t="s">
        <v>72</v>
      </c>
      <c r="M7" s="9">
        <f>COUNTIF($J$2:$J$85,L7)</f>
        <v>13</v>
      </c>
      <c r="N7" s="11">
        <f>SUMIF($J$2:$J$85,L7,$F$2:$F$85)</f>
        <v>2717000</v>
      </c>
      <c r="O7" s="12">
        <f>N7/SUM($N$4:$N$8)</f>
        <v>0.13734014052469293</v>
      </c>
    </row>
    <row r="8" spans="1:15" x14ac:dyDescent="0.3">
      <c r="A8" s="16">
        <v>84</v>
      </c>
      <c r="B8" s="16" t="s">
        <v>163</v>
      </c>
      <c r="C8" s="16" t="s">
        <v>52</v>
      </c>
      <c r="D8" s="16">
        <v>72</v>
      </c>
      <c r="E8" s="16">
        <v>5</v>
      </c>
      <c r="F8" s="17">
        <v>592000</v>
      </c>
      <c r="G8" s="16">
        <v>3</v>
      </c>
      <c r="H8" s="16">
        <v>4</v>
      </c>
      <c r="I8" s="16">
        <v>4</v>
      </c>
      <c r="J8" s="16" t="s">
        <v>69</v>
      </c>
      <c r="L8" s="9" t="s">
        <v>73</v>
      </c>
      <c r="M8" s="9">
        <f>COUNTIF($J$2:$J$85,L8)</f>
        <v>16</v>
      </c>
      <c r="N8" s="11">
        <f>SUMIF($J$2:$J$85,L8,$F$2:$F$85)</f>
        <v>1764000</v>
      </c>
      <c r="O8" s="12">
        <f>N8/SUM($N$4:$N$8)</f>
        <v>8.9167467017135918E-2</v>
      </c>
    </row>
    <row r="9" spans="1:15" x14ac:dyDescent="0.3">
      <c r="A9" s="16">
        <v>78</v>
      </c>
      <c r="B9" s="16" t="s">
        <v>157</v>
      </c>
      <c r="C9" s="16" t="s">
        <v>49</v>
      </c>
      <c r="D9" s="16">
        <v>48</v>
      </c>
      <c r="E9" s="16">
        <v>4</v>
      </c>
      <c r="F9" s="17">
        <v>562000</v>
      </c>
      <c r="G9" s="16">
        <v>4</v>
      </c>
      <c r="H9" s="16">
        <v>4</v>
      </c>
      <c r="I9" s="16">
        <v>4</v>
      </c>
      <c r="J9" s="16" t="s">
        <v>69</v>
      </c>
    </row>
    <row r="10" spans="1:15" x14ac:dyDescent="0.3">
      <c r="A10" s="16">
        <v>41</v>
      </c>
      <c r="B10" s="16" t="s">
        <v>120</v>
      </c>
      <c r="C10" s="16" t="s">
        <v>56</v>
      </c>
      <c r="D10" s="16">
        <v>34</v>
      </c>
      <c r="E10" s="16">
        <v>4</v>
      </c>
      <c r="F10" s="17">
        <v>558000</v>
      </c>
      <c r="G10" s="16">
        <v>4</v>
      </c>
      <c r="H10" s="16">
        <v>4</v>
      </c>
      <c r="I10" s="16">
        <v>4</v>
      </c>
      <c r="J10" s="16" t="s">
        <v>69</v>
      </c>
    </row>
    <row r="11" spans="1:15" x14ac:dyDescent="0.3">
      <c r="A11" s="16">
        <v>35</v>
      </c>
      <c r="B11" s="16" t="s">
        <v>114</v>
      </c>
      <c r="C11" s="16" t="s">
        <v>49</v>
      </c>
      <c r="D11" s="16">
        <v>124</v>
      </c>
      <c r="E11" s="16">
        <v>2</v>
      </c>
      <c r="F11" s="17">
        <v>463000</v>
      </c>
      <c r="G11" s="16">
        <v>2</v>
      </c>
      <c r="H11" s="16">
        <v>2</v>
      </c>
      <c r="I11" s="16">
        <v>4</v>
      </c>
      <c r="J11" s="16" t="s">
        <v>71</v>
      </c>
    </row>
    <row r="12" spans="1:15" x14ac:dyDescent="0.3">
      <c r="A12" s="16">
        <v>95</v>
      </c>
      <c r="B12" s="16" t="s">
        <v>174</v>
      </c>
      <c r="C12" s="16" t="s">
        <v>55</v>
      </c>
      <c r="D12" s="16">
        <v>62</v>
      </c>
      <c r="E12" s="16">
        <v>3</v>
      </c>
      <c r="F12" s="17">
        <v>463000</v>
      </c>
      <c r="G12" s="16">
        <v>3</v>
      </c>
      <c r="H12" s="16">
        <v>4</v>
      </c>
      <c r="I12" s="16">
        <v>4</v>
      </c>
      <c r="J12" s="16" t="s">
        <v>69</v>
      </c>
    </row>
    <row r="13" spans="1:15" x14ac:dyDescent="0.3">
      <c r="A13" s="16">
        <v>59</v>
      </c>
      <c r="B13" s="16" t="s">
        <v>138</v>
      </c>
      <c r="C13" s="16" t="s">
        <v>54</v>
      </c>
      <c r="D13" s="16">
        <v>191</v>
      </c>
      <c r="E13" s="16">
        <v>2</v>
      </c>
      <c r="F13" s="17">
        <v>444000</v>
      </c>
      <c r="G13" s="16">
        <v>1</v>
      </c>
      <c r="H13" s="16">
        <v>3</v>
      </c>
      <c r="I13" s="16">
        <v>4</v>
      </c>
      <c r="J13" s="16" t="s">
        <v>72</v>
      </c>
    </row>
    <row r="14" spans="1:15" x14ac:dyDescent="0.3">
      <c r="A14" s="16">
        <v>4</v>
      </c>
      <c r="B14" s="16" t="s">
        <v>83</v>
      </c>
      <c r="C14" s="16" t="s">
        <v>57</v>
      </c>
      <c r="D14" s="16">
        <v>57</v>
      </c>
      <c r="E14" s="16">
        <v>3</v>
      </c>
      <c r="F14" s="17">
        <v>444000</v>
      </c>
      <c r="G14" s="16">
        <v>4</v>
      </c>
      <c r="H14" s="16">
        <v>3</v>
      </c>
      <c r="I14" s="16">
        <v>4</v>
      </c>
      <c r="J14" s="16" t="s">
        <v>69</v>
      </c>
    </row>
    <row r="15" spans="1:15" x14ac:dyDescent="0.3">
      <c r="A15" s="16">
        <v>38</v>
      </c>
      <c r="B15" s="16" t="s">
        <v>117</v>
      </c>
      <c r="C15" s="16" t="s">
        <v>55</v>
      </c>
      <c r="D15" s="16">
        <v>58</v>
      </c>
      <c r="E15" s="16">
        <v>3</v>
      </c>
      <c r="F15" s="17">
        <v>427000</v>
      </c>
      <c r="G15" s="16">
        <v>4</v>
      </c>
      <c r="H15" s="16">
        <v>3</v>
      </c>
      <c r="I15" s="16">
        <v>4</v>
      </c>
      <c r="J15" s="16" t="s">
        <v>69</v>
      </c>
    </row>
    <row r="16" spans="1:15" x14ac:dyDescent="0.3">
      <c r="A16" s="16">
        <v>61</v>
      </c>
      <c r="B16" s="16" t="s">
        <v>140</v>
      </c>
      <c r="C16" s="16" t="s">
        <v>53</v>
      </c>
      <c r="D16" s="16">
        <v>69</v>
      </c>
      <c r="E16" s="16">
        <v>5</v>
      </c>
      <c r="F16" s="17">
        <v>427000</v>
      </c>
      <c r="G16" s="16">
        <v>3</v>
      </c>
      <c r="H16" s="16">
        <v>4</v>
      </c>
      <c r="I16" s="16">
        <v>4</v>
      </c>
      <c r="J16" s="16" t="s">
        <v>69</v>
      </c>
    </row>
    <row r="17" spans="1:10" x14ac:dyDescent="0.3">
      <c r="A17" s="16">
        <v>36</v>
      </c>
      <c r="B17" s="16" t="s">
        <v>115</v>
      </c>
      <c r="C17" s="16" t="s">
        <v>50</v>
      </c>
      <c r="D17" s="16">
        <v>150</v>
      </c>
      <c r="E17" s="16">
        <v>2</v>
      </c>
      <c r="F17" s="17">
        <v>373000</v>
      </c>
      <c r="G17" s="16">
        <v>2</v>
      </c>
      <c r="H17" s="16">
        <v>2</v>
      </c>
      <c r="I17" s="16">
        <v>4</v>
      </c>
      <c r="J17" s="16" t="s">
        <v>71</v>
      </c>
    </row>
    <row r="18" spans="1:10" x14ac:dyDescent="0.3">
      <c r="A18" s="16">
        <v>88</v>
      </c>
      <c r="B18" s="16" t="s">
        <v>167</v>
      </c>
      <c r="C18" s="16" t="s">
        <v>49</v>
      </c>
      <c r="D18" s="16">
        <v>5</v>
      </c>
      <c r="E18" s="16">
        <v>4</v>
      </c>
      <c r="F18" s="17">
        <v>336000</v>
      </c>
      <c r="G18" s="16">
        <v>4</v>
      </c>
      <c r="H18" s="16">
        <v>4</v>
      </c>
      <c r="I18" s="16">
        <v>4</v>
      </c>
      <c r="J18" s="16" t="s">
        <v>69</v>
      </c>
    </row>
    <row r="19" spans="1:10" x14ac:dyDescent="0.3">
      <c r="A19" s="16">
        <v>19</v>
      </c>
      <c r="B19" s="16" t="s">
        <v>98</v>
      </c>
      <c r="C19" s="16" t="s">
        <v>57</v>
      </c>
      <c r="D19" s="16">
        <v>222</v>
      </c>
      <c r="E19" s="16">
        <v>1</v>
      </c>
      <c r="F19" s="17">
        <v>321000</v>
      </c>
      <c r="G19" s="16">
        <v>1</v>
      </c>
      <c r="H19" s="16">
        <v>1</v>
      </c>
      <c r="I19" s="16">
        <v>4</v>
      </c>
      <c r="J19" s="16" t="s">
        <v>73</v>
      </c>
    </row>
    <row r="20" spans="1:10" x14ac:dyDescent="0.3">
      <c r="A20" s="16">
        <v>85</v>
      </c>
      <c r="B20" s="16" t="s">
        <v>164</v>
      </c>
      <c r="C20" s="16" t="s">
        <v>56</v>
      </c>
      <c r="D20" s="16">
        <v>137</v>
      </c>
      <c r="E20" s="16">
        <v>3</v>
      </c>
      <c r="F20" s="17">
        <v>315000</v>
      </c>
      <c r="G20" s="16">
        <v>2</v>
      </c>
      <c r="H20" s="16">
        <v>3</v>
      </c>
      <c r="I20" s="16">
        <v>4</v>
      </c>
      <c r="J20" s="16" t="s">
        <v>72</v>
      </c>
    </row>
    <row r="21" spans="1:10" x14ac:dyDescent="0.3">
      <c r="A21" s="16">
        <v>81</v>
      </c>
      <c r="B21" s="16" t="s">
        <v>160</v>
      </c>
      <c r="C21" s="16" t="s">
        <v>49</v>
      </c>
      <c r="D21" s="16">
        <v>242</v>
      </c>
      <c r="E21" s="16">
        <v>1</v>
      </c>
      <c r="F21" s="17">
        <v>313000</v>
      </c>
      <c r="G21" s="16">
        <v>1</v>
      </c>
      <c r="H21" s="16">
        <v>2</v>
      </c>
      <c r="I21" s="16">
        <v>4</v>
      </c>
      <c r="J21" s="16" t="s">
        <v>73</v>
      </c>
    </row>
    <row r="22" spans="1:10" x14ac:dyDescent="0.3">
      <c r="A22" s="16">
        <v>91</v>
      </c>
      <c r="B22" s="16" t="s">
        <v>170</v>
      </c>
      <c r="C22" s="16" t="s">
        <v>51</v>
      </c>
      <c r="D22" s="16">
        <v>150</v>
      </c>
      <c r="E22" s="16">
        <v>3</v>
      </c>
      <c r="F22" s="17">
        <v>311000</v>
      </c>
      <c r="G22" s="16">
        <v>2</v>
      </c>
      <c r="H22" s="16">
        <v>4</v>
      </c>
      <c r="I22" s="16">
        <v>4</v>
      </c>
      <c r="J22" s="16" t="s">
        <v>72</v>
      </c>
    </row>
    <row r="23" spans="1:10" x14ac:dyDescent="0.3">
      <c r="A23" s="16">
        <v>63</v>
      </c>
      <c r="B23" s="16" t="s">
        <v>142</v>
      </c>
      <c r="C23" s="16" t="s">
        <v>54</v>
      </c>
      <c r="D23" s="16">
        <v>26</v>
      </c>
      <c r="E23" s="16">
        <v>3</v>
      </c>
      <c r="F23" s="17">
        <v>301000</v>
      </c>
      <c r="G23" s="16">
        <v>4</v>
      </c>
      <c r="H23" s="16">
        <v>3</v>
      </c>
      <c r="I23" s="16">
        <v>3</v>
      </c>
      <c r="J23" s="16" t="s">
        <v>69</v>
      </c>
    </row>
    <row r="24" spans="1:10" x14ac:dyDescent="0.3">
      <c r="A24" s="16">
        <v>68</v>
      </c>
      <c r="B24" s="16" t="s">
        <v>147</v>
      </c>
      <c r="C24" s="16" t="s">
        <v>49</v>
      </c>
      <c r="D24" s="16">
        <v>37</v>
      </c>
      <c r="E24" s="16">
        <v>5</v>
      </c>
      <c r="F24" s="17">
        <v>290000</v>
      </c>
      <c r="G24" s="16">
        <v>4</v>
      </c>
      <c r="H24" s="16">
        <v>4</v>
      </c>
      <c r="I24" s="16">
        <v>3</v>
      </c>
      <c r="J24" s="16" t="s">
        <v>69</v>
      </c>
    </row>
    <row r="25" spans="1:10" x14ac:dyDescent="0.3">
      <c r="A25" s="16">
        <v>92</v>
      </c>
      <c r="B25" s="16" t="s">
        <v>171</v>
      </c>
      <c r="C25" s="16" t="s">
        <v>56</v>
      </c>
      <c r="D25" s="16">
        <v>25</v>
      </c>
      <c r="E25" s="16">
        <v>3</v>
      </c>
      <c r="F25" s="17">
        <v>272000</v>
      </c>
      <c r="G25" s="16">
        <v>4</v>
      </c>
      <c r="H25" s="16">
        <v>4</v>
      </c>
      <c r="I25" s="16">
        <v>3</v>
      </c>
      <c r="J25" s="16" t="s">
        <v>69</v>
      </c>
    </row>
    <row r="26" spans="1:10" x14ac:dyDescent="0.3">
      <c r="A26" s="16">
        <v>99</v>
      </c>
      <c r="B26" s="16" t="s">
        <v>178</v>
      </c>
      <c r="C26" s="16" t="s">
        <v>58</v>
      </c>
      <c r="D26" s="16">
        <v>93</v>
      </c>
      <c r="E26" s="16">
        <v>2</v>
      </c>
      <c r="F26" s="17">
        <v>269000</v>
      </c>
      <c r="G26" s="16">
        <v>3</v>
      </c>
      <c r="H26" s="16">
        <v>3</v>
      </c>
      <c r="I26" s="16">
        <v>3</v>
      </c>
      <c r="J26" s="16" t="s">
        <v>69</v>
      </c>
    </row>
    <row r="27" spans="1:10" x14ac:dyDescent="0.3">
      <c r="A27" s="16">
        <v>26</v>
      </c>
      <c r="B27" s="16" t="s">
        <v>105</v>
      </c>
      <c r="C27" s="16" t="s">
        <v>53</v>
      </c>
      <c r="D27" s="16">
        <v>151</v>
      </c>
      <c r="E27" s="16">
        <v>2</v>
      </c>
      <c r="F27" s="17">
        <v>261000</v>
      </c>
      <c r="G27" s="16">
        <v>2</v>
      </c>
      <c r="H27" s="16">
        <v>2</v>
      </c>
      <c r="I27" s="16">
        <v>3</v>
      </c>
      <c r="J27" s="16" t="s">
        <v>71</v>
      </c>
    </row>
    <row r="28" spans="1:10" x14ac:dyDescent="0.3">
      <c r="A28" s="16">
        <v>46</v>
      </c>
      <c r="B28" s="16" t="s">
        <v>125</v>
      </c>
      <c r="C28" s="16" t="s">
        <v>52</v>
      </c>
      <c r="D28" s="16">
        <v>66</v>
      </c>
      <c r="E28" s="16">
        <v>1</v>
      </c>
      <c r="F28" s="17">
        <v>260000</v>
      </c>
      <c r="G28" s="16">
        <v>3</v>
      </c>
      <c r="H28" s="16">
        <v>1</v>
      </c>
      <c r="I28" s="16">
        <v>3</v>
      </c>
      <c r="J28" s="16" t="s">
        <v>71</v>
      </c>
    </row>
    <row r="29" spans="1:10" x14ac:dyDescent="0.3">
      <c r="A29" s="16">
        <v>98</v>
      </c>
      <c r="B29" s="16" t="s">
        <v>177</v>
      </c>
      <c r="C29" s="16" t="s">
        <v>51</v>
      </c>
      <c r="D29" s="16">
        <v>97</v>
      </c>
      <c r="E29" s="16">
        <v>3</v>
      </c>
      <c r="F29" s="17">
        <v>246000</v>
      </c>
      <c r="G29" s="16">
        <v>3</v>
      </c>
      <c r="H29" s="16">
        <v>4</v>
      </c>
      <c r="I29" s="16">
        <v>3</v>
      </c>
      <c r="J29" s="16" t="s">
        <v>69</v>
      </c>
    </row>
    <row r="30" spans="1:10" x14ac:dyDescent="0.3">
      <c r="A30" s="16">
        <v>11</v>
      </c>
      <c r="B30" s="16" t="s">
        <v>90</v>
      </c>
      <c r="C30" s="16" t="s">
        <v>50</v>
      </c>
      <c r="D30" s="16">
        <v>47</v>
      </c>
      <c r="E30" s="16">
        <v>5</v>
      </c>
      <c r="F30" s="17">
        <v>242000</v>
      </c>
      <c r="G30" s="16">
        <v>4</v>
      </c>
      <c r="H30" s="16">
        <v>4</v>
      </c>
      <c r="I30" s="16">
        <v>3</v>
      </c>
      <c r="J30" s="16" t="s">
        <v>69</v>
      </c>
    </row>
    <row r="31" spans="1:10" x14ac:dyDescent="0.3">
      <c r="A31" s="16">
        <v>33</v>
      </c>
      <c r="B31" s="16" t="s">
        <v>112</v>
      </c>
      <c r="C31" s="16" t="s">
        <v>54</v>
      </c>
      <c r="D31" s="16">
        <v>148</v>
      </c>
      <c r="E31" s="16">
        <v>2</v>
      </c>
      <c r="F31" s="17">
        <v>236000</v>
      </c>
      <c r="G31" s="16">
        <v>2</v>
      </c>
      <c r="H31" s="16">
        <v>2</v>
      </c>
      <c r="I31" s="16">
        <v>3</v>
      </c>
      <c r="J31" s="16" t="s">
        <v>71</v>
      </c>
    </row>
    <row r="32" spans="1:10" x14ac:dyDescent="0.3">
      <c r="A32" s="16">
        <v>22</v>
      </c>
      <c r="B32" s="16" t="s">
        <v>101</v>
      </c>
      <c r="C32" s="16" t="s">
        <v>55</v>
      </c>
      <c r="D32" s="16">
        <v>151</v>
      </c>
      <c r="E32" s="16">
        <v>3</v>
      </c>
      <c r="F32" s="17">
        <v>235000</v>
      </c>
      <c r="G32" s="16">
        <v>2</v>
      </c>
      <c r="H32" s="16">
        <v>3</v>
      </c>
      <c r="I32" s="16">
        <v>3</v>
      </c>
      <c r="J32" s="16" t="s">
        <v>72</v>
      </c>
    </row>
    <row r="33" spans="1:10" x14ac:dyDescent="0.3">
      <c r="A33" s="16">
        <v>72</v>
      </c>
      <c r="B33" s="16" t="s">
        <v>151</v>
      </c>
      <c r="C33" s="16" t="s">
        <v>56</v>
      </c>
      <c r="D33" s="16">
        <v>155</v>
      </c>
      <c r="E33" s="16">
        <v>3</v>
      </c>
      <c r="F33" s="17">
        <v>225000</v>
      </c>
      <c r="G33" s="16">
        <v>2</v>
      </c>
      <c r="H33" s="16">
        <v>3</v>
      </c>
      <c r="I33" s="16">
        <v>3</v>
      </c>
      <c r="J33" s="16" t="s">
        <v>72</v>
      </c>
    </row>
    <row r="34" spans="1:10" x14ac:dyDescent="0.3">
      <c r="A34" s="16">
        <v>64</v>
      </c>
      <c r="B34" s="16" t="s">
        <v>143</v>
      </c>
      <c r="C34" s="16" t="s">
        <v>49</v>
      </c>
      <c r="D34" s="16">
        <v>153</v>
      </c>
      <c r="E34" s="16">
        <v>1</v>
      </c>
      <c r="F34" s="17">
        <v>224000</v>
      </c>
      <c r="G34" s="16">
        <v>2</v>
      </c>
      <c r="H34" s="16">
        <v>1</v>
      </c>
      <c r="I34" s="16">
        <v>3</v>
      </c>
      <c r="J34" s="16" t="s">
        <v>71</v>
      </c>
    </row>
    <row r="35" spans="1:10" x14ac:dyDescent="0.3">
      <c r="A35" s="16">
        <v>76</v>
      </c>
      <c r="B35" s="16" t="s">
        <v>155</v>
      </c>
      <c r="C35" s="16" t="s">
        <v>53</v>
      </c>
      <c r="D35" s="16">
        <v>112</v>
      </c>
      <c r="E35" s="16">
        <v>2</v>
      </c>
      <c r="F35" s="17">
        <v>220000</v>
      </c>
      <c r="G35" s="16">
        <v>3</v>
      </c>
      <c r="H35" s="16">
        <v>3</v>
      </c>
      <c r="I35" s="16">
        <v>3</v>
      </c>
      <c r="J35" s="16" t="s">
        <v>69</v>
      </c>
    </row>
    <row r="36" spans="1:10" x14ac:dyDescent="0.3">
      <c r="A36" s="16">
        <v>2</v>
      </c>
      <c r="B36" s="16" t="s">
        <v>81</v>
      </c>
      <c r="C36" s="16" t="s">
        <v>49</v>
      </c>
      <c r="D36" s="16">
        <v>175</v>
      </c>
      <c r="E36" s="16">
        <v>2</v>
      </c>
      <c r="F36" s="17">
        <v>219000</v>
      </c>
      <c r="G36" s="16">
        <v>2</v>
      </c>
      <c r="H36" s="16">
        <v>2</v>
      </c>
      <c r="I36" s="16">
        <v>3</v>
      </c>
      <c r="J36" s="16" t="s">
        <v>71</v>
      </c>
    </row>
    <row r="37" spans="1:10" x14ac:dyDescent="0.3">
      <c r="A37" s="16">
        <v>52</v>
      </c>
      <c r="B37" s="16" t="s">
        <v>131</v>
      </c>
      <c r="C37" s="16" t="s">
        <v>53</v>
      </c>
      <c r="D37" s="16">
        <v>6</v>
      </c>
      <c r="E37" s="16">
        <v>3</v>
      </c>
      <c r="F37" s="17">
        <v>218000</v>
      </c>
      <c r="G37" s="16">
        <v>4</v>
      </c>
      <c r="H37" s="16">
        <v>3</v>
      </c>
      <c r="I37" s="16">
        <v>3</v>
      </c>
      <c r="J37" s="16" t="s">
        <v>69</v>
      </c>
    </row>
    <row r="38" spans="1:10" x14ac:dyDescent="0.3">
      <c r="A38" s="16">
        <v>28</v>
      </c>
      <c r="B38" s="16" t="s">
        <v>107</v>
      </c>
      <c r="C38" s="16" t="s">
        <v>50</v>
      </c>
      <c r="D38" s="16">
        <v>116</v>
      </c>
      <c r="E38" s="16">
        <v>2</v>
      </c>
      <c r="F38" s="17">
        <v>216000</v>
      </c>
      <c r="G38" s="16">
        <v>3</v>
      </c>
      <c r="H38" s="16">
        <v>2</v>
      </c>
      <c r="I38" s="16">
        <v>3</v>
      </c>
      <c r="J38" s="16" t="s">
        <v>70</v>
      </c>
    </row>
    <row r="39" spans="1:10" x14ac:dyDescent="0.3">
      <c r="A39" s="16">
        <v>54</v>
      </c>
      <c r="B39" s="16" t="s">
        <v>133</v>
      </c>
      <c r="C39" s="16" t="s">
        <v>52</v>
      </c>
      <c r="D39" s="16">
        <v>89</v>
      </c>
      <c r="E39" s="16">
        <v>3</v>
      </c>
      <c r="F39" s="17">
        <v>207000</v>
      </c>
      <c r="G39" s="16">
        <v>3</v>
      </c>
      <c r="H39" s="16">
        <v>3</v>
      </c>
      <c r="I39" s="16">
        <v>3</v>
      </c>
      <c r="J39" s="16" t="s">
        <v>69</v>
      </c>
    </row>
    <row r="40" spans="1:10" x14ac:dyDescent="0.3">
      <c r="A40" s="16">
        <v>49</v>
      </c>
      <c r="B40" s="16" t="s">
        <v>128</v>
      </c>
      <c r="C40" s="16" t="s">
        <v>57</v>
      </c>
      <c r="D40" s="16">
        <v>139</v>
      </c>
      <c r="E40" s="16">
        <v>2</v>
      </c>
      <c r="F40" s="17">
        <v>206000</v>
      </c>
      <c r="G40" s="16">
        <v>2</v>
      </c>
      <c r="H40" s="16">
        <v>2</v>
      </c>
      <c r="I40" s="16">
        <v>3</v>
      </c>
      <c r="J40" s="16" t="s">
        <v>71</v>
      </c>
    </row>
    <row r="41" spans="1:10" x14ac:dyDescent="0.3">
      <c r="A41" s="16">
        <v>23</v>
      </c>
      <c r="B41" s="16" t="s">
        <v>102</v>
      </c>
      <c r="C41" s="16" t="s">
        <v>49</v>
      </c>
      <c r="D41" s="16">
        <v>299</v>
      </c>
      <c r="E41" s="16">
        <v>2</v>
      </c>
      <c r="F41" s="17">
        <v>201000</v>
      </c>
      <c r="G41" s="16">
        <v>1</v>
      </c>
      <c r="H41" s="16">
        <v>2</v>
      </c>
      <c r="I41" s="16">
        <v>3</v>
      </c>
      <c r="J41" s="16" t="s">
        <v>73</v>
      </c>
    </row>
    <row r="42" spans="1:10" x14ac:dyDescent="0.3">
      <c r="A42" s="16">
        <v>87</v>
      </c>
      <c r="B42" s="16" t="s">
        <v>166</v>
      </c>
      <c r="C42" s="16" t="s">
        <v>49</v>
      </c>
      <c r="D42" s="16">
        <v>257</v>
      </c>
      <c r="E42" s="16">
        <v>3</v>
      </c>
      <c r="F42" s="17">
        <v>198000</v>
      </c>
      <c r="G42" s="16">
        <v>1</v>
      </c>
      <c r="H42" s="16">
        <v>4</v>
      </c>
      <c r="I42" s="16">
        <v>3</v>
      </c>
      <c r="J42" s="16" t="s">
        <v>72</v>
      </c>
    </row>
    <row r="43" spans="1:10" x14ac:dyDescent="0.3">
      <c r="A43" s="16">
        <v>37</v>
      </c>
      <c r="B43" s="16" t="s">
        <v>116</v>
      </c>
      <c r="C43" s="16" t="s">
        <v>52</v>
      </c>
      <c r="D43" s="16">
        <v>7</v>
      </c>
      <c r="E43" s="16">
        <v>3</v>
      </c>
      <c r="F43" s="17">
        <v>192000</v>
      </c>
      <c r="G43" s="16">
        <v>4</v>
      </c>
      <c r="H43" s="16">
        <v>3</v>
      </c>
      <c r="I43" s="16">
        <v>2</v>
      </c>
      <c r="J43" s="16" t="s">
        <v>70</v>
      </c>
    </row>
    <row r="44" spans="1:10" x14ac:dyDescent="0.3">
      <c r="A44" s="16">
        <v>67</v>
      </c>
      <c r="B44" s="16" t="s">
        <v>146</v>
      </c>
      <c r="C44" s="16" t="s">
        <v>50</v>
      </c>
      <c r="D44" s="16">
        <v>150</v>
      </c>
      <c r="E44" s="16">
        <v>2</v>
      </c>
      <c r="F44" s="17">
        <v>192000</v>
      </c>
      <c r="G44" s="16">
        <v>2</v>
      </c>
      <c r="H44" s="16">
        <v>3</v>
      </c>
      <c r="I44" s="16">
        <v>3</v>
      </c>
      <c r="J44" s="16" t="s">
        <v>72</v>
      </c>
    </row>
    <row r="45" spans="1:10" x14ac:dyDescent="0.3">
      <c r="A45" s="16">
        <v>12</v>
      </c>
      <c r="B45" s="16" t="s">
        <v>91</v>
      </c>
      <c r="C45" s="16" t="s">
        <v>53</v>
      </c>
      <c r="D45" s="16">
        <v>300</v>
      </c>
      <c r="E45" s="16">
        <v>1</v>
      </c>
      <c r="F45" s="17">
        <v>185000</v>
      </c>
      <c r="G45" s="16">
        <v>1</v>
      </c>
      <c r="H45" s="16">
        <v>1</v>
      </c>
      <c r="I45" s="16">
        <v>2</v>
      </c>
      <c r="J45" s="16" t="s">
        <v>73</v>
      </c>
    </row>
    <row r="46" spans="1:10" x14ac:dyDescent="0.3">
      <c r="A46" s="16">
        <v>40</v>
      </c>
      <c r="B46" s="16" t="s">
        <v>119</v>
      </c>
      <c r="C46" s="16" t="s">
        <v>52</v>
      </c>
      <c r="D46" s="16">
        <v>133</v>
      </c>
      <c r="E46" s="16">
        <v>2</v>
      </c>
      <c r="F46" s="17">
        <v>181000</v>
      </c>
      <c r="G46" s="16">
        <v>2</v>
      </c>
      <c r="H46" s="16">
        <v>2</v>
      </c>
      <c r="I46" s="16">
        <v>2</v>
      </c>
      <c r="J46" s="16" t="s">
        <v>71</v>
      </c>
    </row>
    <row r="47" spans="1:10" x14ac:dyDescent="0.3">
      <c r="A47" s="16">
        <v>90</v>
      </c>
      <c r="B47" s="16" t="s">
        <v>169</v>
      </c>
      <c r="C47" s="16" t="s">
        <v>50</v>
      </c>
      <c r="D47" s="16">
        <v>138</v>
      </c>
      <c r="E47" s="16">
        <v>2</v>
      </c>
      <c r="F47" s="17">
        <v>180000</v>
      </c>
      <c r="G47" s="16">
        <v>2</v>
      </c>
      <c r="H47" s="16">
        <v>3</v>
      </c>
      <c r="I47" s="16">
        <v>2</v>
      </c>
      <c r="J47" s="16" t="s">
        <v>72</v>
      </c>
    </row>
    <row r="48" spans="1:10" x14ac:dyDescent="0.3">
      <c r="A48" s="16">
        <v>75</v>
      </c>
      <c r="B48" s="16" t="s">
        <v>154</v>
      </c>
      <c r="C48" s="16" t="s">
        <v>52</v>
      </c>
      <c r="D48" s="16">
        <v>13</v>
      </c>
      <c r="E48" s="16">
        <v>5</v>
      </c>
      <c r="F48" s="17">
        <v>179000</v>
      </c>
      <c r="G48" s="16">
        <v>4</v>
      </c>
      <c r="H48" s="16">
        <v>4</v>
      </c>
      <c r="I48" s="16">
        <v>2</v>
      </c>
      <c r="J48" s="16" t="s">
        <v>70</v>
      </c>
    </row>
    <row r="49" spans="1:10" x14ac:dyDescent="0.3">
      <c r="A49" s="16">
        <v>20</v>
      </c>
      <c r="B49" s="16" t="s">
        <v>99</v>
      </c>
      <c r="C49" s="16" t="s">
        <v>57</v>
      </c>
      <c r="D49" s="16">
        <v>73</v>
      </c>
      <c r="E49" s="16">
        <v>1</v>
      </c>
      <c r="F49" s="17">
        <v>176000</v>
      </c>
      <c r="G49" s="16">
        <v>3</v>
      </c>
      <c r="H49" s="16">
        <v>1</v>
      </c>
      <c r="I49" s="16">
        <v>2</v>
      </c>
      <c r="J49" s="16" t="s">
        <v>71</v>
      </c>
    </row>
    <row r="50" spans="1:10" x14ac:dyDescent="0.3">
      <c r="A50" s="16">
        <v>14</v>
      </c>
      <c r="B50" s="16" t="s">
        <v>93</v>
      </c>
      <c r="C50" s="16" t="s">
        <v>50</v>
      </c>
      <c r="D50" s="16">
        <v>85</v>
      </c>
      <c r="E50" s="16">
        <v>4</v>
      </c>
      <c r="F50" s="17">
        <v>175000</v>
      </c>
      <c r="G50" s="16">
        <v>3</v>
      </c>
      <c r="H50" s="16">
        <v>4</v>
      </c>
      <c r="I50" s="16">
        <v>2</v>
      </c>
      <c r="J50" s="16" t="s">
        <v>70</v>
      </c>
    </row>
    <row r="51" spans="1:10" x14ac:dyDescent="0.3">
      <c r="A51" s="16">
        <v>10</v>
      </c>
      <c r="B51" s="16" t="s">
        <v>89</v>
      </c>
      <c r="C51" s="16" t="s">
        <v>55</v>
      </c>
      <c r="D51" s="16">
        <v>147</v>
      </c>
      <c r="E51" s="16">
        <v>3</v>
      </c>
      <c r="F51" s="17">
        <v>172000</v>
      </c>
      <c r="G51" s="16">
        <v>2</v>
      </c>
      <c r="H51" s="16">
        <v>3</v>
      </c>
      <c r="I51" s="16">
        <v>2</v>
      </c>
      <c r="J51" s="16" t="s">
        <v>72</v>
      </c>
    </row>
    <row r="52" spans="1:10" x14ac:dyDescent="0.3">
      <c r="A52" s="16">
        <v>60</v>
      </c>
      <c r="B52" s="16" t="s">
        <v>139</v>
      </c>
      <c r="C52" s="16" t="s">
        <v>56</v>
      </c>
      <c r="D52" s="16">
        <v>160</v>
      </c>
      <c r="E52" s="16">
        <v>2</v>
      </c>
      <c r="F52" s="17">
        <v>172000</v>
      </c>
      <c r="G52" s="16">
        <v>2</v>
      </c>
      <c r="H52" s="16">
        <v>3</v>
      </c>
      <c r="I52" s="16">
        <v>2</v>
      </c>
      <c r="J52" s="16" t="s">
        <v>72</v>
      </c>
    </row>
    <row r="53" spans="1:10" x14ac:dyDescent="0.3">
      <c r="A53" s="16">
        <v>34</v>
      </c>
      <c r="B53" s="16" t="s">
        <v>113</v>
      </c>
      <c r="C53" s="16" t="s">
        <v>52</v>
      </c>
      <c r="D53" s="16">
        <v>98</v>
      </c>
      <c r="E53" s="16">
        <v>1</v>
      </c>
      <c r="F53" s="17">
        <v>149000</v>
      </c>
      <c r="G53" s="16">
        <v>3</v>
      </c>
      <c r="H53" s="16">
        <v>1</v>
      </c>
      <c r="I53" s="16">
        <v>2</v>
      </c>
      <c r="J53" s="16" t="s">
        <v>71</v>
      </c>
    </row>
    <row r="54" spans="1:10" x14ac:dyDescent="0.3">
      <c r="A54" s="16">
        <v>16</v>
      </c>
      <c r="B54" s="16" t="s">
        <v>95</v>
      </c>
      <c r="C54" s="16" t="s">
        <v>51</v>
      </c>
      <c r="D54" s="16">
        <v>16</v>
      </c>
      <c r="E54" s="16">
        <v>3</v>
      </c>
      <c r="F54" s="17">
        <v>148000</v>
      </c>
      <c r="G54" s="16">
        <v>4</v>
      </c>
      <c r="H54" s="16">
        <v>3</v>
      </c>
      <c r="I54" s="16">
        <v>2</v>
      </c>
      <c r="J54" s="16" t="s">
        <v>70</v>
      </c>
    </row>
    <row r="55" spans="1:10" x14ac:dyDescent="0.3">
      <c r="A55" s="16">
        <v>29</v>
      </c>
      <c r="B55" s="16" t="s">
        <v>108</v>
      </c>
      <c r="C55" s="16" t="s">
        <v>49</v>
      </c>
      <c r="D55" s="16">
        <v>123</v>
      </c>
      <c r="E55" s="16">
        <v>1</v>
      </c>
      <c r="F55" s="17">
        <v>145000</v>
      </c>
      <c r="G55" s="16">
        <v>2</v>
      </c>
      <c r="H55" s="16">
        <v>1</v>
      </c>
      <c r="I55" s="16">
        <v>2</v>
      </c>
      <c r="J55" s="16" t="s">
        <v>71</v>
      </c>
    </row>
    <row r="56" spans="1:10" x14ac:dyDescent="0.3">
      <c r="A56" s="16">
        <v>42</v>
      </c>
      <c r="B56" s="16" t="s">
        <v>121</v>
      </c>
      <c r="C56" s="16" t="s">
        <v>51</v>
      </c>
      <c r="D56" s="16">
        <v>79</v>
      </c>
      <c r="E56" s="16">
        <v>1</v>
      </c>
      <c r="F56" s="17">
        <v>144000</v>
      </c>
      <c r="G56" s="16">
        <v>3</v>
      </c>
      <c r="H56" s="16">
        <v>1</v>
      </c>
      <c r="I56" s="16">
        <v>2</v>
      </c>
      <c r="J56" s="16" t="s">
        <v>71</v>
      </c>
    </row>
    <row r="57" spans="1:10" x14ac:dyDescent="0.3">
      <c r="A57" s="16">
        <v>25</v>
      </c>
      <c r="B57" s="16" t="s">
        <v>104</v>
      </c>
      <c r="C57" s="16" t="s">
        <v>55</v>
      </c>
      <c r="D57" s="16">
        <v>189</v>
      </c>
      <c r="E57" s="16">
        <v>2</v>
      </c>
      <c r="F57" s="17">
        <v>135000</v>
      </c>
      <c r="G57" s="16">
        <v>1</v>
      </c>
      <c r="H57" s="16">
        <v>2</v>
      </c>
      <c r="I57" s="16">
        <v>2</v>
      </c>
      <c r="J57" s="16" t="s">
        <v>73</v>
      </c>
    </row>
    <row r="58" spans="1:10" x14ac:dyDescent="0.3">
      <c r="A58" s="16">
        <v>71</v>
      </c>
      <c r="B58" s="16" t="s">
        <v>150</v>
      </c>
      <c r="C58" s="16" t="s">
        <v>54</v>
      </c>
      <c r="D58" s="16">
        <v>61</v>
      </c>
      <c r="E58" s="16">
        <v>1</v>
      </c>
      <c r="F58" s="17">
        <v>128000</v>
      </c>
      <c r="G58" s="16">
        <v>3</v>
      </c>
      <c r="H58" s="16">
        <v>1</v>
      </c>
      <c r="I58" s="16">
        <v>2</v>
      </c>
      <c r="J58" s="16" t="s">
        <v>71</v>
      </c>
    </row>
    <row r="59" spans="1:10" x14ac:dyDescent="0.3">
      <c r="A59" s="16">
        <v>18</v>
      </c>
      <c r="B59" s="16" t="s">
        <v>97</v>
      </c>
      <c r="C59" s="16" t="s">
        <v>51</v>
      </c>
      <c r="D59" s="16">
        <v>290</v>
      </c>
      <c r="E59" s="16">
        <v>2</v>
      </c>
      <c r="F59" s="17">
        <v>128000</v>
      </c>
      <c r="G59" s="16">
        <v>1</v>
      </c>
      <c r="H59" s="16">
        <v>2</v>
      </c>
      <c r="I59" s="16">
        <v>2</v>
      </c>
      <c r="J59" s="16" t="s">
        <v>73</v>
      </c>
    </row>
    <row r="60" spans="1:10" x14ac:dyDescent="0.3">
      <c r="A60" s="16">
        <v>48</v>
      </c>
      <c r="B60" s="16" t="s">
        <v>127</v>
      </c>
      <c r="C60" s="16" t="s">
        <v>51</v>
      </c>
      <c r="D60" s="16">
        <v>76</v>
      </c>
      <c r="E60" s="16">
        <v>2</v>
      </c>
      <c r="F60" s="17">
        <v>124000</v>
      </c>
      <c r="G60" s="16">
        <v>3</v>
      </c>
      <c r="H60" s="16">
        <v>2</v>
      </c>
      <c r="I60" s="16">
        <v>2</v>
      </c>
      <c r="J60" s="16" t="s">
        <v>70</v>
      </c>
    </row>
    <row r="61" spans="1:10" x14ac:dyDescent="0.3">
      <c r="A61" s="16">
        <v>50</v>
      </c>
      <c r="B61" s="16" t="s">
        <v>129</v>
      </c>
      <c r="C61" s="16" t="s">
        <v>55</v>
      </c>
      <c r="D61" s="16">
        <v>203</v>
      </c>
      <c r="E61" s="16">
        <v>1</v>
      </c>
      <c r="F61" s="17">
        <v>124000</v>
      </c>
      <c r="G61" s="16">
        <v>1</v>
      </c>
      <c r="H61" s="16">
        <v>1</v>
      </c>
      <c r="I61" s="16">
        <v>2</v>
      </c>
      <c r="J61" s="16" t="s">
        <v>73</v>
      </c>
    </row>
    <row r="62" spans="1:10" x14ac:dyDescent="0.3">
      <c r="A62" s="16">
        <v>83</v>
      </c>
      <c r="B62" s="16" t="s">
        <v>162</v>
      </c>
      <c r="C62" s="16" t="s">
        <v>58</v>
      </c>
      <c r="D62" s="16">
        <v>288</v>
      </c>
      <c r="E62" s="16">
        <v>2</v>
      </c>
      <c r="F62" s="17">
        <v>118000</v>
      </c>
      <c r="G62" s="16">
        <v>1</v>
      </c>
      <c r="H62" s="16">
        <v>3</v>
      </c>
      <c r="I62" s="16">
        <v>2</v>
      </c>
      <c r="J62" s="16" t="s">
        <v>72</v>
      </c>
    </row>
    <row r="63" spans="1:10" x14ac:dyDescent="0.3">
      <c r="A63" s="16">
        <v>45</v>
      </c>
      <c r="B63" s="16" t="s">
        <v>124</v>
      </c>
      <c r="C63" s="16" t="s">
        <v>50</v>
      </c>
      <c r="D63" s="16">
        <v>3</v>
      </c>
      <c r="E63" s="16">
        <v>2</v>
      </c>
      <c r="F63" s="17">
        <v>115000</v>
      </c>
      <c r="G63" s="16">
        <v>4</v>
      </c>
      <c r="H63" s="16">
        <v>2</v>
      </c>
      <c r="I63" s="16">
        <v>2</v>
      </c>
      <c r="J63" s="16" t="s">
        <v>70</v>
      </c>
    </row>
    <row r="64" spans="1:10" x14ac:dyDescent="0.3">
      <c r="A64" s="16">
        <v>39</v>
      </c>
      <c r="B64" s="16" t="s">
        <v>118</v>
      </c>
      <c r="C64" s="16" t="s">
        <v>54</v>
      </c>
      <c r="D64" s="16">
        <v>181</v>
      </c>
      <c r="E64" s="16">
        <v>2</v>
      </c>
      <c r="F64" s="17">
        <v>113000</v>
      </c>
      <c r="G64" s="16">
        <v>2</v>
      </c>
      <c r="H64" s="16">
        <v>2</v>
      </c>
      <c r="I64" s="16">
        <v>2</v>
      </c>
      <c r="J64" s="16" t="s">
        <v>71</v>
      </c>
    </row>
    <row r="65" spans="1:10" x14ac:dyDescent="0.3">
      <c r="A65" s="16">
        <v>58</v>
      </c>
      <c r="B65" s="16" t="s">
        <v>137</v>
      </c>
      <c r="C65" s="16" t="s">
        <v>52</v>
      </c>
      <c r="D65" s="16">
        <v>64</v>
      </c>
      <c r="E65" s="16">
        <v>2</v>
      </c>
      <c r="F65" s="17">
        <v>104000</v>
      </c>
      <c r="G65" s="16">
        <v>3</v>
      </c>
      <c r="H65" s="16">
        <v>3</v>
      </c>
      <c r="I65" s="16">
        <v>1</v>
      </c>
      <c r="J65" s="16" t="s">
        <v>70</v>
      </c>
    </row>
    <row r="66" spans="1:10" x14ac:dyDescent="0.3">
      <c r="A66" s="16">
        <v>31</v>
      </c>
      <c r="B66" s="16" t="s">
        <v>110</v>
      </c>
      <c r="C66" s="16" t="s">
        <v>58</v>
      </c>
      <c r="D66" s="16">
        <v>198</v>
      </c>
      <c r="E66" s="16">
        <v>1</v>
      </c>
      <c r="F66" s="17">
        <v>84000</v>
      </c>
      <c r="G66" s="16">
        <v>1</v>
      </c>
      <c r="H66" s="16">
        <v>1</v>
      </c>
      <c r="I66" s="16">
        <v>1</v>
      </c>
      <c r="J66" s="16" t="s">
        <v>73</v>
      </c>
    </row>
    <row r="67" spans="1:10" x14ac:dyDescent="0.3">
      <c r="A67" s="16">
        <v>66</v>
      </c>
      <c r="B67" s="16" t="s">
        <v>145</v>
      </c>
      <c r="C67" s="16" t="s">
        <v>52</v>
      </c>
      <c r="D67" s="16">
        <v>275</v>
      </c>
      <c r="E67" s="16">
        <v>2</v>
      </c>
      <c r="F67" s="17">
        <v>83000</v>
      </c>
      <c r="G67" s="16">
        <v>1</v>
      </c>
      <c r="H67" s="16">
        <v>3</v>
      </c>
      <c r="I67" s="16">
        <v>1</v>
      </c>
      <c r="J67" s="16" t="s">
        <v>72</v>
      </c>
    </row>
    <row r="68" spans="1:10" x14ac:dyDescent="0.3">
      <c r="A68" s="16">
        <v>5</v>
      </c>
      <c r="B68" s="16" t="s">
        <v>84</v>
      </c>
      <c r="C68" s="16" t="s">
        <v>57</v>
      </c>
      <c r="D68" s="16">
        <v>21</v>
      </c>
      <c r="E68" s="16">
        <v>2</v>
      </c>
      <c r="F68" s="17">
        <v>75000</v>
      </c>
      <c r="G68" s="16">
        <v>4</v>
      </c>
      <c r="H68" s="16">
        <v>2</v>
      </c>
      <c r="I68" s="16">
        <v>1</v>
      </c>
      <c r="J68" s="16" t="s">
        <v>70</v>
      </c>
    </row>
    <row r="69" spans="1:10" x14ac:dyDescent="0.3">
      <c r="A69" s="16">
        <v>94</v>
      </c>
      <c r="B69" s="16" t="s">
        <v>173</v>
      </c>
      <c r="C69" s="16" t="s">
        <v>57</v>
      </c>
      <c r="D69" s="16">
        <v>334</v>
      </c>
      <c r="E69" s="16">
        <v>2</v>
      </c>
      <c r="F69" s="17">
        <v>72000</v>
      </c>
      <c r="G69" s="16">
        <v>1</v>
      </c>
      <c r="H69" s="16">
        <v>3</v>
      </c>
      <c r="I69" s="16">
        <v>1</v>
      </c>
      <c r="J69" s="16" t="s">
        <v>72</v>
      </c>
    </row>
    <row r="70" spans="1:10" x14ac:dyDescent="0.3">
      <c r="A70" s="16">
        <v>86</v>
      </c>
      <c r="B70" s="16" t="s">
        <v>165</v>
      </c>
      <c r="C70" s="16" t="s">
        <v>51</v>
      </c>
      <c r="D70" s="16">
        <v>61</v>
      </c>
      <c r="E70" s="16">
        <v>3</v>
      </c>
      <c r="F70" s="17">
        <v>69000</v>
      </c>
      <c r="G70" s="16">
        <v>3</v>
      </c>
      <c r="H70" s="16">
        <v>4</v>
      </c>
      <c r="I70" s="16">
        <v>1</v>
      </c>
      <c r="J70" s="16" t="s">
        <v>70</v>
      </c>
    </row>
    <row r="71" spans="1:10" x14ac:dyDescent="0.3">
      <c r="A71" s="16">
        <v>30</v>
      </c>
      <c r="B71" s="16" t="s">
        <v>109</v>
      </c>
      <c r="C71" s="16" t="s">
        <v>51</v>
      </c>
      <c r="D71" s="16">
        <v>331</v>
      </c>
      <c r="E71" s="16">
        <v>1</v>
      </c>
      <c r="F71" s="17">
        <v>68000</v>
      </c>
      <c r="G71" s="16">
        <v>1</v>
      </c>
      <c r="H71" s="16">
        <v>1</v>
      </c>
      <c r="I71" s="16">
        <v>1</v>
      </c>
      <c r="J71" s="16" t="s">
        <v>73</v>
      </c>
    </row>
    <row r="72" spans="1:10" x14ac:dyDescent="0.3">
      <c r="A72" s="16">
        <v>1</v>
      </c>
      <c r="B72" s="16" t="s">
        <v>80</v>
      </c>
      <c r="C72" s="16" t="s">
        <v>52</v>
      </c>
      <c r="D72" s="16">
        <v>130</v>
      </c>
      <c r="E72" s="16">
        <v>1</v>
      </c>
      <c r="F72" s="17">
        <v>61000</v>
      </c>
      <c r="G72" s="16">
        <v>2</v>
      </c>
      <c r="H72" s="16">
        <v>1</v>
      </c>
      <c r="I72" s="16">
        <v>1</v>
      </c>
      <c r="J72" s="16" t="s">
        <v>71</v>
      </c>
    </row>
    <row r="73" spans="1:10" x14ac:dyDescent="0.3">
      <c r="A73" s="16">
        <v>13</v>
      </c>
      <c r="B73" s="16" t="s">
        <v>92</v>
      </c>
      <c r="C73" s="16" t="s">
        <v>55</v>
      </c>
      <c r="D73" s="16">
        <v>200</v>
      </c>
      <c r="E73" s="16">
        <v>1</v>
      </c>
      <c r="F73" s="17">
        <v>46000</v>
      </c>
      <c r="G73" s="16">
        <v>1</v>
      </c>
      <c r="H73" s="16">
        <v>1</v>
      </c>
      <c r="I73" s="16">
        <v>1</v>
      </c>
      <c r="J73" s="16" t="s">
        <v>73</v>
      </c>
    </row>
    <row r="74" spans="1:10" x14ac:dyDescent="0.3">
      <c r="A74" s="16">
        <v>43</v>
      </c>
      <c r="B74" s="16" t="s">
        <v>122</v>
      </c>
      <c r="C74" s="16" t="s">
        <v>54</v>
      </c>
      <c r="D74" s="16">
        <v>185</v>
      </c>
      <c r="E74" s="16">
        <v>1</v>
      </c>
      <c r="F74" s="17">
        <v>40000</v>
      </c>
      <c r="G74" s="16">
        <v>1</v>
      </c>
      <c r="H74" s="16">
        <v>1</v>
      </c>
      <c r="I74" s="16">
        <v>1</v>
      </c>
      <c r="J74" s="16" t="s">
        <v>73</v>
      </c>
    </row>
    <row r="75" spans="1:10" x14ac:dyDescent="0.3">
      <c r="A75" s="16">
        <v>44</v>
      </c>
      <c r="B75" s="16" t="s">
        <v>123</v>
      </c>
      <c r="C75" s="16" t="s">
        <v>56</v>
      </c>
      <c r="D75" s="16">
        <v>231</v>
      </c>
      <c r="E75" s="16">
        <v>1</v>
      </c>
      <c r="F75" s="17">
        <v>35000</v>
      </c>
      <c r="G75" s="16">
        <v>1</v>
      </c>
      <c r="H75" s="16">
        <v>1</v>
      </c>
      <c r="I75" s="16">
        <v>1</v>
      </c>
      <c r="J75" s="16" t="s">
        <v>73</v>
      </c>
    </row>
    <row r="76" spans="1:10" x14ac:dyDescent="0.3">
      <c r="A76" s="16">
        <v>47</v>
      </c>
      <c r="B76" s="16" t="s">
        <v>126</v>
      </c>
      <c r="C76" s="16" t="s">
        <v>52</v>
      </c>
      <c r="D76" s="16">
        <v>16</v>
      </c>
      <c r="E76" s="16">
        <v>1</v>
      </c>
      <c r="F76" s="17">
        <v>33000</v>
      </c>
      <c r="G76" s="16">
        <v>4</v>
      </c>
      <c r="H76" s="16">
        <v>1</v>
      </c>
      <c r="I76" s="16">
        <v>1</v>
      </c>
      <c r="J76" s="16" t="s">
        <v>71</v>
      </c>
    </row>
    <row r="77" spans="1:10" x14ac:dyDescent="0.3">
      <c r="A77" s="16">
        <v>73</v>
      </c>
      <c r="B77" s="16" t="s">
        <v>152</v>
      </c>
      <c r="C77" s="16" t="s">
        <v>49</v>
      </c>
      <c r="D77" s="16">
        <v>254</v>
      </c>
      <c r="E77" s="16">
        <v>1</v>
      </c>
      <c r="F77" s="17">
        <v>30000</v>
      </c>
      <c r="G77" s="16">
        <v>1</v>
      </c>
      <c r="H77" s="16">
        <v>2</v>
      </c>
      <c r="I77" s="16">
        <v>1</v>
      </c>
      <c r="J77" s="16" t="s">
        <v>73</v>
      </c>
    </row>
    <row r="78" spans="1:10" x14ac:dyDescent="0.3">
      <c r="A78" s="16">
        <v>93</v>
      </c>
      <c r="B78" s="16" t="s">
        <v>172</v>
      </c>
      <c r="C78" s="16" t="s">
        <v>57</v>
      </c>
      <c r="D78" s="16">
        <v>304</v>
      </c>
      <c r="E78" s="16">
        <v>1</v>
      </c>
      <c r="F78" s="17">
        <v>29000</v>
      </c>
      <c r="G78" s="16">
        <v>1</v>
      </c>
      <c r="H78" s="16">
        <v>2</v>
      </c>
      <c r="I78" s="16">
        <v>1</v>
      </c>
      <c r="J78" s="16" t="s">
        <v>73</v>
      </c>
    </row>
    <row r="79" spans="1:10" x14ac:dyDescent="0.3">
      <c r="A79" s="16">
        <v>96</v>
      </c>
      <c r="B79" s="16" t="s">
        <v>175</v>
      </c>
      <c r="C79" s="16" t="s">
        <v>54</v>
      </c>
      <c r="D79" s="16">
        <v>35</v>
      </c>
      <c r="E79" s="16">
        <v>1</v>
      </c>
      <c r="F79" s="17">
        <v>24000</v>
      </c>
      <c r="G79" s="16">
        <v>4</v>
      </c>
      <c r="H79" s="16">
        <v>2</v>
      </c>
      <c r="I79" s="16">
        <v>1</v>
      </c>
      <c r="J79" s="16" t="s">
        <v>70</v>
      </c>
    </row>
    <row r="80" spans="1:10" x14ac:dyDescent="0.3">
      <c r="A80" s="16">
        <v>69</v>
      </c>
      <c r="B80" s="16" t="s">
        <v>148</v>
      </c>
      <c r="C80" s="16" t="s">
        <v>53</v>
      </c>
      <c r="D80" s="16">
        <v>155</v>
      </c>
      <c r="E80" s="16">
        <v>1</v>
      </c>
      <c r="F80" s="17">
        <v>23000</v>
      </c>
      <c r="G80" s="16">
        <v>2</v>
      </c>
      <c r="H80" s="16">
        <v>1</v>
      </c>
      <c r="I80" s="16">
        <v>1</v>
      </c>
      <c r="J80" s="16" t="s">
        <v>71</v>
      </c>
    </row>
    <row r="81" spans="1:10" x14ac:dyDescent="0.3">
      <c r="A81" s="16">
        <v>7</v>
      </c>
      <c r="B81" s="16" t="s">
        <v>86</v>
      </c>
      <c r="C81" s="16" t="s">
        <v>49</v>
      </c>
      <c r="D81" s="16">
        <v>106</v>
      </c>
      <c r="E81" s="16">
        <v>2</v>
      </c>
      <c r="F81" s="17">
        <v>20000</v>
      </c>
      <c r="G81" s="16">
        <v>3</v>
      </c>
      <c r="H81" s="16">
        <v>2</v>
      </c>
      <c r="I81" s="16">
        <v>1</v>
      </c>
      <c r="J81" s="16" t="s">
        <v>70</v>
      </c>
    </row>
    <row r="82" spans="1:10" x14ac:dyDescent="0.3">
      <c r="A82" s="16">
        <v>80</v>
      </c>
      <c r="B82" s="16" t="s">
        <v>159</v>
      </c>
      <c r="C82" s="16" t="s">
        <v>52</v>
      </c>
      <c r="D82" s="16">
        <v>294</v>
      </c>
      <c r="E82" s="16">
        <v>1</v>
      </c>
      <c r="F82" s="17">
        <v>15000</v>
      </c>
      <c r="G82" s="16">
        <v>1</v>
      </c>
      <c r="H82" s="16">
        <v>2</v>
      </c>
      <c r="I82" s="16">
        <v>1</v>
      </c>
      <c r="J82" s="16" t="s">
        <v>73</v>
      </c>
    </row>
    <row r="83" spans="1:10" x14ac:dyDescent="0.3">
      <c r="A83" s="16">
        <v>53</v>
      </c>
      <c r="B83" s="16" t="s">
        <v>132</v>
      </c>
      <c r="C83" s="16" t="s">
        <v>55</v>
      </c>
      <c r="D83" s="16">
        <v>45</v>
      </c>
      <c r="E83" s="16">
        <v>1</v>
      </c>
      <c r="F83" s="17">
        <v>14000</v>
      </c>
      <c r="G83" s="16">
        <v>4</v>
      </c>
      <c r="H83" s="16">
        <v>1</v>
      </c>
      <c r="I83" s="16">
        <v>1</v>
      </c>
      <c r="J83" s="16" t="s">
        <v>71</v>
      </c>
    </row>
    <row r="84" spans="1:10" x14ac:dyDescent="0.3">
      <c r="A84" s="16">
        <v>9</v>
      </c>
      <c r="B84" s="16" t="s">
        <v>88</v>
      </c>
      <c r="C84" s="16" t="s">
        <v>56</v>
      </c>
      <c r="D84" s="16">
        <v>167</v>
      </c>
      <c r="E84" s="16">
        <v>1</v>
      </c>
      <c r="F84" s="17">
        <v>12000</v>
      </c>
      <c r="G84" s="16">
        <v>2</v>
      </c>
      <c r="H84" s="16">
        <v>1</v>
      </c>
      <c r="I84" s="16">
        <v>1</v>
      </c>
      <c r="J84" s="16" t="s">
        <v>71</v>
      </c>
    </row>
    <row r="85" spans="1:10" x14ac:dyDescent="0.3">
      <c r="A85" s="16">
        <v>70</v>
      </c>
      <c r="B85" s="16" t="s">
        <v>149</v>
      </c>
      <c r="C85" s="16" t="s">
        <v>52</v>
      </c>
      <c r="D85" s="16">
        <v>330</v>
      </c>
      <c r="E85" s="16">
        <v>1</v>
      </c>
      <c r="F85" s="17">
        <v>10000</v>
      </c>
      <c r="G85" s="16">
        <v>1</v>
      </c>
      <c r="H85" s="16">
        <v>1</v>
      </c>
      <c r="I85" s="16">
        <v>1</v>
      </c>
      <c r="J85" s="16" t="s">
        <v>73</v>
      </c>
    </row>
  </sheetData>
  <autoFilter ref="A1:J8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Customers</vt:lpstr>
      <vt:lpstr>Products</vt:lpstr>
      <vt:lpstr>Orders</vt:lpstr>
      <vt:lpstr>OrderDetails</vt:lpstr>
      <vt:lpstr>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saurabhkohli626@outlook.com</cp:lastModifiedBy>
  <dcterms:created xsi:type="dcterms:W3CDTF">2026-10-24T19:16:15Z</dcterms:created>
  <dcterms:modified xsi:type="dcterms:W3CDTF">2026-10-24T19:16:40Z</dcterms:modified>
</cp:coreProperties>
</file>